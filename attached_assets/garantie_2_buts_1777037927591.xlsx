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" sheetId="1" r:id="rId5"/>
    <sheet state="visible" name="21" sheetId="2" r:id="rId6"/>
    <sheet state="visible" name="9" sheetId="3" r:id="rId7"/>
    <sheet state="visible" name="17" sheetId="4" r:id="rId8"/>
    <sheet state="visible" name="1" sheetId="5" r:id="rId9"/>
    <sheet state="visible" name="3" sheetId="6" r:id="rId10"/>
    <sheet state="visible" name="10" sheetId="7" r:id="rId11"/>
    <sheet state="visible" name="16" sheetId="8" r:id="rId12"/>
    <sheet state="visible" name="19" sheetId="9" r:id="rId13"/>
    <sheet state="visible" name="7" sheetId="10" r:id="rId14"/>
    <sheet state="visible" name="18" sheetId="11" r:id="rId15"/>
    <sheet state="visible" name="13" sheetId="12" r:id="rId16"/>
    <sheet state="visible" name="11" sheetId="13" r:id="rId17"/>
    <sheet state="visible" name="4" sheetId="14" r:id="rId18"/>
    <sheet state="visible" name="8" sheetId="15" r:id="rId19"/>
    <sheet state="visible" name="15" sheetId="16" r:id="rId20"/>
    <sheet state="visible" name="20" sheetId="17" r:id="rId21"/>
    <sheet state="visible" name="14" sheetId="18" r:id="rId22"/>
    <sheet state="visible" name="2" sheetId="19" r:id="rId23"/>
    <sheet state="visible" name="12" sheetId="20" r:id="rId24"/>
    <sheet state="visible" name="5" sheetId="21" r:id="rId25"/>
  </sheets>
  <definedNames/>
  <calcPr/>
</workbook>
</file>

<file path=xl/sharedStrings.xml><?xml version="1.0" encoding="utf-8"?>
<sst xmlns="http://schemas.openxmlformats.org/spreadsheetml/2006/main" count="525" uniqueCount="56">
  <si>
    <t>leipzig</t>
  </si>
  <si>
    <t>union berlin</t>
  </si>
  <si>
    <t>cut:</t>
  </si>
  <si>
    <t>Joueur</t>
  </si>
  <si>
    <t>Cote</t>
  </si>
  <si>
    <t>xG</t>
  </si>
  <si>
    <t>p(x=0)</t>
  </si>
  <si>
    <t>nb buts :</t>
  </si>
  <si>
    <t>cote victoire</t>
  </si>
  <si>
    <t>cote over :</t>
  </si>
  <si>
    <t>P(garantie)</t>
  </si>
  <si>
    <t>nb buts</t>
  </si>
  <si>
    <t>cote match théo</t>
  </si>
  <si>
    <t>nul</t>
  </si>
  <si>
    <t>xG cotes buteurs</t>
  </si>
  <si>
    <t>xG buteurs no déf</t>
  </si>
  <si>
    <t>matrice proba</t>
  </si>
  <si>
    <t>matrice de :</t>
  </si>
  <si>
    <t>brest</t>
  </si>
  <si>
    <t>lens</t>
  </si>
  <si>
    <t>napoli</t>
  </si>
  <si>
    <t>cremonese</t>
  </si>
  <si>
    <t>sundeland</t>
  </si>
  <si>
    <t>nottingham</t>
  </si>
  <si>
    <t>betis</t>
  </si>
  <si>
    <t>real madrid</t>
  </si>
  <si>
    <t>angers</t>
  </si>
  <si>
    <t>psg</t>
  </si>
  <si>
    <t>real amdrid</t>
  </si>
  <si>
    <t>alaves</t>
  </si>
  <si>
    <t>werder</t>
  </si>
  <si>
    <t>hambourg</t>
  </si>
  <si>
    <t>leverkusen</t>
  </si>
  <si>
    <t>augsbourg</t>
  </si>
  <si>
    <t>fribourg</t>
  </si>
  <si>
    <t>heidenheim</t>
  </si>
  <si>
    <t>aston villa</t>
  </si>
  <si>
    <t>sunderland</t>
  </si>
  <si>
    <t>hoffenheim</t>
  </si>
  <si>
    <t>dortmund</t>
  </si>
  <si>
    <t>monaco</t>
  </si>
  <si>
    <t>auxerre</t>
  </si>
  <si>
    <t>hellas verone</t>
  </si>
  <si>
    <t>milan</t>
  </si>
  <si>
    <t>everton</t>
  </si>
  <si>
    <t>liverpool</t>
  </si>
  <si>
    <t>notingham</t>
  </si>
  <si>
    <t>burnley</t>
  </si>
  <si>
    <t>wolfsburg</t>
  </si>
  <si>
    <t>newcastle</t>
  </si>
  <si>
    <t>bournemouth</t>
  </si>
  <si>
    <t>nantes</t>
  </si>
  <si>
    <t>elche</t>
  </si>
  <si>
    <t>atletico</t>
  </si>
  <si>
    <t>leeds</t>
  </si>
  <si>
    <t>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</si>
</sst>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2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1" numFmtId="0" xfId="0" applyFont="1"/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0</v>
      </c>
      <c r="C1" s="1" t="s">
        <v>1</v>
      </c>
      <c r="D1" s="2" t="s">
        <v>2</v>
      </c>
      <c r="G1" s="2" t="str">
        <f t="shared" ref="G1:H1" si="1">B1</f>
        <v>leipzig</v>
      </c>
      <c r="H1" s="2" t="str">
        <f t="shared" si="1"/>
        <v>union berlin</v>
      </c>
      <c r="J1" s="3" t="str">
        <f>G1</f>
        <v>leipzig</v>
      </c>
      <c r="K1" s="3" t="s">
        <v>3</v>
      </c>
      <c r="L1" s="3" t="s">
        <v>4</v>
      </c>
      <c r="M1" s="3" t="s">
        <v>5</v>
      </c>
      <c r="N1" s="3" t="str">
        <f>H1</f>
        <v>union berlin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0.09641831729027975</v>
      </c>
      <c r="C2" s="1">
        <v>0.3738128529454662</v>
      </c>
      <c r="D2" s="2" t="s">
        <v>7</v>
      </c>
      <c r="E2" s="1">
        <v>2.5</v>
      </c>
      <c r="F2" s="2" t="s">
        <v>8</v>
      </c>
      <c r="G2" s="1">
        <v>1.507</v>
      </c>
      <c r="H2" s="1">
        <v>7.1</v>
      </c>
      <c r="J2" s="3"/>
      <c r="K2" s="4"/>
      <c r="L2" s="5">
        <v>6.0</v>
      </c>
      <c r="M2" s="6">
        <f t="shared" ref="M2:M11" si="3">IFERROR(-ln(1-(1/L2)),0)</f>
        <v>0.1823215568</v>
      </c>
      <c r="N2" s="3"/>
      <c r="O2" s="4"/>
      <c r="P2" s="5">
        <v>1.9</v>
      </c>
      <c r="Q2" s="6">
        <f t="shared" ref="Q2:Q11" si="4">IFERROR(-ln(1-(1/P2)),0)</f>
        <v>0.7472144018</v>
      </c>
    </row>
    <row r="3">
      <c r="A3" s="2" t="s">
        <v>5</v>
      </c>
      <c r="B3" s="7">
        <f t="shared" ref="B3:C3" si="2">-ln(B2)</f>
        <v>2.339059082</v>
      </c>
      <c r="C3" s="7">
        <f t="shared" si="2"/>
        <v>0.984</v>
      </c>
      <c r="D3" s="2" t="s">
        <v>9</v>
      </c>
      <c r="E3" s="1">
        <v>1.55</v>
      </c>
      <c r="F3" s="2" t="s">
        <v>10</v>
      </c>
      <c r="G3" s="8">
        <f>1/(1/G2+SUM(D37:H40))</f>
        <v>1.473522307</v>
      </c>
      <c r="H3" s="8">
        <f>1/(1/H2+SUM(M37:Q40))</f>
        <v>6.195341695</v>
      </c>
      <c r="J3" s="3"/>
      <c r="K3" s="4"/>
      <c r="L3" s="5">
        <v>8.0</v>
      </c>
      <c r="M3" s="6">
        <f t="shared" si="3"/>
        <v>0.1335313926</v>
      </c>
      <c r="N3" s="3"/>
      <c r="O3" s="4"/>
      <c r="P3" s="5">
        <v>2.5</v>
      </c>
      <c r="Q3" s="6">
        <f t="shared" si="4"/>
        <v>0.5108256238</v>
      </c>
    </row>
    <row r="4">
      <c r="A4" s="2" t="s">
        <v>11</v>
      </c>
      <c r="J4" s="3"/>
      <c r="K4" s="4"/>
      <c r="L4" s="5">
        <v>8.0</v>
      </c>
      <c r="M4" s="6">
        <f t="shared" si="3"/>
        <v>0.1335313926</v>
      </c>
      <c r="N4" s="3"/>
      <c r="O4" s="4"/>
      <c r="P4" s="5">
        <v>3.0</v>
      </c>
      <c r="Q4" s="6">
        <f t="shared" si="4"/>
        <v>0.4054651081</v>
      </c>
    </row>
    <row r="5">
      <c r="A5" s="2">
        <v>1.0</v>
      </c>
      <c r="B5" s="7">
        <f t="shared" ref="B5:C5" si="5">((B$3^$A5)/FACT($A5))*EXP(-B$3)</f>
        <v>0.2255281407</v>
      </c>
      <c r="C5" s="7">
        <f t="shared" si="5"/>
        <v>0.3678318473</v>
      </c>
      <c r="D5" s="2">
        <v>1.5</v>
      </c>
      <c r="E5" s="7">
        <f>1/(B2*(C2+C5)+B5*C2)</f>
        <v>6.417931115</v>
      </c>
      <c r="J5" s="3"/>
      <c r="K5" s="4"/>
      <c r="L5" s="5">
        <v>10.0</v>
      </c>
      <c r="M5" s="6">
        <f t="shared" si="3"/>
        <v>0.1053605157</v>
      </c>
      <c r="N5" s="3"/>
      <c r="O5" s="4"/>
      <c r="P5" s="5">
        <v>5.0</v>
      </c>
      <c r="Q5" s="6">
        <f t="shared" si="4"/>
        <v>0.2231435513</v>
      </c>
    </row>
    <row r="6">
      <c r="A6" s="2">
        <v>2.0</v>
      </c>
      <c r="B6" s="7">
        <f t="shared" ref="B6:C6" si="6">((B$3^$A6)/FACT($A6))*EXP(-B$3)</f>
        <v>0.2637618229</v>
      </c>
      <c r="C6" s="7">
        <f t="shared" si="6"/>
        <v>0.1809732689</v>
      </c>
      <c r="D6" s="2">
        <v>2.5</v>
      </c>
      <c r="E6" s="7">
        <f>1/(B2*(C2+C5+C6)+B5*(C2+C5)+B6*C2)</f>
        <v>2.818357571</v>
      </c>
      <c r="F6" s="2" t="s">
        <v>12</v>
      </c>
      <c r="J6" s="3"/>
      <c r="K6" s="4"/>
      <c r="L6" s="5">
        <v>10.0</v>
      </c>
      <c r="M6" s="6">
        <f t="shared" si="3"/>
        <v>0.1053605157</v>
      </c>
      <c r="N6" s="3"/>
      <c r="O6" s="4"/>
      <c r="P6" s="5">
        <v>6.0</v>
      </c>
      <c r="Q6" s="6">
        <f t="shared" si="4"/>
        <v>0.1823215568</v>
      </c>
    </row>
    <row r="7">
      <c r="A7" s="2">
        <v>3.0</v>
      </c>
      <c r="B7" s="7">
        <f t="shared" ref="B7:C7" si="7">((B$3^$A7)/FACT($A7))*EXP(-B$3)</f>
        <v>0.2056514958</v>
      </c>
      <c r="C7" s="7">
        <f t="shared" si="7"/>
        <v>0.05935923219</v>
      </c>
      <c r="D7" s="2">
        <v>3.5</v>
      </c>
      <c r="E7" s="7">
        <f>1/(B2*(C2+C5+C6+C7)+B5*(C2+C5+C6)+B6*(C2+C5)+B7*C2)</f>
        <v>1.738375723</v>
      </c>
      <c r="F7" s="7" t="str">
        <f>B1</f>
        <v>leipzig</v>
      </c>
      <c r="G7" s="2" t="s">
        <v>13</v>
      </c>
      <c r="H7" s="7" t="str">
        <f>C1</f>
        <v>union berlin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8.0</v>
      </c>
      <c r="Q7" s="6">
        <f t="shared" si="4"/>
        <v>0.1335313926</v>
      </c>
    </row>
    <row r="8">
      <c r="A8" s="2">
        <v>4.0</v>
      </c>
      <c r="B8" s="7">
        <f t="shared" ref="B8:C8" si="8">((B$3^$A8)/FACT($A8))*EXP(-B$3)</f>
        <v>0.1202577497</v>
      </c>
      <c r="C8" s="7">
        <f t="shared" si="8"/>
        <v>0.01460237112</v>
      </c>
      <c r="D8" s="2">
        <v>4.5</v>
      </c>
      <c r="E8" s="7">
        <f>1/(B2*(C2+C5+C6+C7+C8)+B5*(C2+C5+C6+C7)+B6*(C2+C5+C6)+B7*(C2+C5)+B8*C2)</f>
        <v>1.31860426</v>
      </c>
      <c r="F8" s="7">
        <f>B5*C2+B6*(C5+C2)+B7*(C6+C5+C2)+B8*(C7+C6+C5+C2)+B9*(C8+C7+C6+C5+C2)+B10*(C9+C8+C7+C6+C5+C2)+B11*(C10+C9+C8+C7+C6+C5+C2)+B12*(C11+C10+C9+C8+C7+C6+C5+C2)</f>
        <v>0.6752070878</v>
      </c>
      <c r="G8" s="7">
        <f>B2*C2+B5*C5+B6*C6+B7*C7+B8*C8+B9*C9+B10*C10+B11*C11+B12*C12</f>
        <v>0.1808685519</v>
      </c>
      <c r="H8" s="7">
        <f>C5*B2+C6*(B5+B2)+C7*(B6+B5+B2)+C8*(B7+B6+B5+B2)+C9*(B8+B7+B6+B5+B2)+C10*(B9+B8+B7+B6+B5+B2)+C11*(B10+B9+B7+B8+B6+B5+B2)</f>
        <v>0.1431938411</v>
      </c>
      <c r="J8" s="3"/>
      <c r="K8" s="4"/>
      <c r="L8" s="5">
        <v>9.0</v>
      </c>
      <c r="M8" s="6">
        <f t="shared" si="3"/>
        <v>0.1177830357</v>
      </c>
      <c r="N8" s="3"/>
      <c r="O8" s="4"/>
      <c r="P8" s="5">
        <v>15.0</v>
      </c>
      <c r="Q8" s="6">
        <f t="shared" si="4"/>
        <v>0.06899287149</v>
      </c>
    </row>
    <row r="9">
      <c r="A9" s="2">
        <v>5.0</v>
      </c>
      <c r="B9" s="7">
        <f t="shared" ref="B9:C9" si="9">((B$3^$A9)/FACT($A9))*EXP(-B$3)</f>
        <v>0.05625799634</v>
      </c>
      <c r="C9" s="7">
        <f t="shared" si="9"/>
        <v>0.002873746636</v>
      </c>
      <c r="F9" s="9">
        <f t="shared" ref="F9:H9" si="10">1/F8</f>
        <v>1.481027107</v>
      </c>
      <c r="G9" s="9">
        <f t="shared" si="10"/>
        <v>5.528877129</v>
      </c>
      <c r="H9" s="9">
        <f t="shared" si="10"/>
        <v>6.98354058</v>
      </c>
      <c r="J9" s="3"/>
      <c r="K9" s="4"/>
      <c r="L9" s="5">
        <v>10.0</v>
      </c>
      <c r="M9" s="6">
        <f t="shared" si="3"/>
        <v>0.1053605157</v>
      </c>
      <c r="N9" s="3"/>
      <c r="O9" s="4"/>
      <c r="P9" s="5">
        <v>6.0</v>
      </c>
      <c r="Q9" s="6">
        <f t="shared" si="4"/>
        <v>0.1823215568</v>
      </c>
    </row>
    <row r="10">
      <c r="A10" s="2">
        <v>6.0</v>
      </c>
      <c r="B10" s="7">
        <f t="shared" ref="B10:C10" si="11">((B$3^$A10)/FACT($A10))*EXP(-B$3)</f>
        <v>0.02193179621</v>
      </c>
      <c r="C10" s="7">
        <f t="shared" si="11"/>
        <v>0.0004712944483</v>
      </c>
      <c r="J10" s="3"/>
      <c r="K10" s="4"/>
      <c r="L10" s="5">
        <v>13.0</v>
      </c>
      <c r="M10" s="6">
        <f t="shared" si="3"/>
        <v>0.08004270767</v>
      </c>
      <c r="N10" s="3"/>
      <c r="O10" s="4"/>
      <c r="P10" s="5">
        <v>10.0</v>
      </c>
      <c r="Q10" s="6">
        <f t="shared" si="4"/>
        <v>0.1053605157</v>
      </c>
    </row>
    <row r="11">
      <c r="A11" s="2">
        <v>7.0</v>
      </c>
      <c r="B11" s="7">
        <f t="shared" ref="B11:C11" si="12">((B$3^$A11)/FACT($A11))*EXP(-B$3)</f>
        <v>0.00732853816</v>
      </c>
      <c r="C11" s="7">
        <f t="shared" si="12"/>
        <v>0.00006625053388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15.0</v>
      </c>
      <c r="Q11" s="6">
        <f t="shared" si="4"/>
        <v>0.06899287149</v>
      </c>
    </row>
    <row r="12">
      <c r="A12" s="2">
        <v>8.0</v>
      </c>
      <c r="B12" s="7">
        <f t="shared" ref="B12:C12" si="13">((B$3^$A12)/FACT($A12))*EXP(-B$3)</f>
        <v>0.002142735468</v>
      </c>
      <c r="C12" s="7">
        <f t="shared" si="13"/>
        <v>0.000008148815667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union berlin</v>
      </c>
      <c r="J13" s="3"/>
      <c r="K13" s="3"/>
      <c r="L13" s="3" t="s">
        <v>14</v>
      </c>
      <c r="M13" s="6">
        <f>SUM(M2:M11)</f>
        <v>1.137645019</v>
      </c>
      <c r="N13" s="3"/>
      <c r="O13" s="3"/>
      <c r="P13" s="3" t="s">
        <v>14</v>
      </c>
      <c r="Q13" s="6">
        <f>SUM(Q2:Q11)</f>
        <v>2.62816945</v>
      </c>
    </row>
    <row r="14">
      <c r="A14" s="7" t="str">
        <f>B1</f>
        <v>leipzig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0.8832489247</v>
      </c>
      <c r="N14" s="3"/>
      <c r="O14" s="3"/>
      <c r="P14" s="3" t="s">
        <v>15</v>
      </c>
      <c r="Q14" s="6">
        <f>SUM(Q2:Q8)</f>
        <v>2.271494506</v>
      </c>
    </row>
    <row r="15">
      <c r="A15" s="2">
        <v>0.0</v>
      </c>
      <c r="B15" s="7">
        <f>B2*$C$2</f>
        <v>0.03604240626</v>
      </c>
      <c r="C15" s="7">
        <f>C5*B2</f>
        <v>0.03546572776</v>
      </c>
      <c r="D15" s="7">
        <f>C6*B2</f>
        <v>0.01744913806</v>
      </c>
      <c r="E15" s="7">
        <f>C7*B2</f>
        <v>0.005723317283</v>
      </c>
      <c r="F15" s="7">
        <f>C8*B2</f>
        <v>0.001407936052</v>
      </c>
      <c r="G15" s="7">
        <f>C9*B2</f>
        <v>0.000277081815</v>
      </c>
      <c r="H15" s="7">
        <f>$C$10*B2</f>
        <v>0.00004544141766</v>
      </c>
    </row>
    <row r="16">
      <c r="A16" s="2">
        <v>1.0</v>
      </c>
      <c r="B16" s="7">
        <f t="shared" ref="B16:B21" si="14">B5*$C$2</f>
        <v>0.08430531771</v>
      </c>
      <c r="C16" s="7">
        <f t="shared" ref="C16:C21" si="15">$C$5*B5</f>
        <v>0.08295643262</v>
      </c>
      <c r="D16" s="7">
        <f t="shared" ref="D16:D21" si="16">$C$6*B5</f>
        <v>0.04081456485</v>
      </c>
      <c r="E16" s="7">
        <f t="shared" ref="E16:E21" si="17">$C$7*B5</f>
        <v>0.01338717727</v>
      </c>
      <c r="F16" s="7">
        <f t="shared" ref="F16:F21" si="18">$C$8*B5</f>
        <v>0.003293245609</v>
      </c>
      <c r="G16" s="7">
        <f t="shared" ref="G16:G21" si="19">$C$9*B5</f>
        <v>0.0006481107358</v>
      </c>
      <c r="H16" s="7">
        <f t="shared" ref="H16:H21" si="20">$C$10*B5</f>
        <v>0.0001062901607</v>
      </c>
    </row>
    <row r="17">
      <c r="A17" s="2">
        <v>2.0</v>
      </c>
      <c r="B17" s="7">
        <f t="shared" si="14"/>
        <v>0.09859755952</v>
      </c>
      <c r="C17" s="7">
        <f t="shared" si="15"/>
        <v>0.09701999857</v>
      </c>
      <c r="D17" s="7">
        <f t="shared" si="16"/>
        <v>0.0477338393</v>
      </c>
      <c r="E17" s="7">
        <f t="shared" si="17"/>
        <v>0.01565669929</v>
      </c>
      <c r="F17" s="7">
        <f t="shared" si="18"/>
        <v>0.003851548025</v>
      </c>
      <c r="G17" s="7">
        <f t="shared" si="19"/>
        <v>0.0007579846514</v>
      </c>
      <c r="H17" s="7">
        <f t="shared" si="20"/>
        <v>0.0001243094828</v>
      </c>
    </row>
    <row r="18">
      <c r="A18" s="2">
        <v>3.0</v>
      </c>
      <c r="B18" s="7">
        <f t="shared" si="14"/>
        <v>0.07687517236</v>
      </c>
      <c r="C18" s="7">
        <f t="shared" si="15"/>
        <v>0.0756451696</v>
      </c>
      <c r="D18" s="7">
        <f t="shared" si="16"/>
        <v>0.03721742344</v>
      </c>
      <c r="E18" s="7">
        <f t="shared" si="17"/>
        <v>0.01220731489</v>
      </c>
      <c r="F18" s="7">
        <f t="shared" si="18"/>
        <v>0.003002999463</v>
      </c>
      <c r="G18" s="7">
        <f t="shared" si="19"/>
        <v>0.0005909902943</v>
      </c>
      <c r="H18" s="7">
        <f t="shared" si="20"/>
        <v>0.00009692240826</v>
      </c>
    </row>
    <row r="19">
      <c r="A19" s="2">
        <v>4.0</v>
      </c>
      <c r="B19" s="7">
        <f t="shared" si="14"/>
        <v>0.04495389252</v>
      </c>
      <c r="C19" s="7">
        <f t="shared" si="15"/>
        <v>0.04423463024</v>
      </c>
      <c r="D19" s="7">
        <f t="shared" si="16"/>
        <v>0.02176343808</v>
      </c>
      <c r="E19" s="7">
        <f t="shared" si="17"/>
        <v>0.00713840769</v>
      </c>
      <c r="F19" s="7">
        <f t="shared" si="18"/>
        <v>0.001756048292</v>
      </c>
      <c r="G19" s="7">
        <f t="shared" si="19"/>
        <v>0.0003455903038</v>
      </c>
      <c r="H19" s="7">
        <f t="shared" si="20"/>
        <v>0.00005667680982</v>
      </c>
    </row>
    <row r="20">
      <c r="A20" s="2">
        <v>5.0</v>
      </c>
      <c r="B20" s="7">
        <f t="shared" si="14"/>
        <v>0.02102996211</v>
      </c>
      <c r="C20" s="7">
        <f t="shared" si="15"/>
        <v>0.02069348272</v>
      </c>
      <c r="D20" s="7">
        <f t="shared" si="16"/>
        <v>0.0101811935</v>
      </c>
      <c r="E20" s="7">
        <f t="shared" si="17"/>
        <v>0.003339431468</v>
      </c>
      <c r="F20" s="7">
        <f t="shared" si="18"/>
        <v>0.000821500141</v>
      </c>
      <c r="G20" s="7">
        <f t="shared" si="19"/>
        <v>0.0001616712278</v>
      </c>
      <c r="H20" s="7">
        <f t="shared" si="20"/>
        <v>0.00002651408135</v>
      </c>
    </row>
    <row r="21">
      <c r="A21" s="2">
        <v>6.0</v>
      </c>
      <c r="B21" s="7">
        <f t="shared" si="14"/>
        <v>0.008198387313</v>
      </c>
      <c r="C21" s="7">
        <f t="shared" si="15"/>
        <v>0.008067213116</v>
      </c>
      <c r="D21" s="7">
        <f t="shared" si="16"/>
        <v>0.003969068853</v>
      </c>
      <c r="E21" s="7">
        <f t="shared" si="17"/>
        <v>0.001301854584</v>
      </c>
      <c r="F21" s="7">
        <f t="shared" si="18"/>
        <v>0.0003202562276</v>
      </c>
      <c r="G21" s="7">
        <f t="shared" si="19"/>
        <v>0.0000630264256</v>
      </c>
      <c r="H21" s="7">
        <f t="shared" si="20"/>
        <v>0.0000103363338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0.0008009820583</v>
      </c>
      <c r="C25" s="10">
        <f>C15*B12</f>
        <v>0.00007599367276</v>
      </c>
      <c r="D25" s="10">
        <f>C16*B12</f>
        <v>0.0001777536905</v>
      </c>
      <c r="E25" s="10">
        <f>C17*B12</f>
        <v>0.000207888192</v>
      </c>
      <c r="F25" s="10">
        <f>C18*B12</f>
        <v>0.0001620875879</v>
      </c>
      <c r="G25" s="10">
        <f>C19*B12</f>
        <v>0.00009478311111</v>
      </c>
      <c r="H25" s="10">
        <f>$C$10*B12</f>
        <v>0.00000100985933</v>
      </c>
    </row>
    <row r="26">
      <c r="A26" s="2">
        <v>1.0</v>
      </c>
      <c r="B26" s="10">
        <f t="shared" ref="B26:B31" si="21">B15*$C$2</f>
        <v>0.01347311471</v>
      </c>
      <c r="C26" s="10">
        <f t="shared" ref="C26:C31" si="22">$C$5*B15</f>
        <v>0.01325754488</v>
      </c>
      <c r="D26" s="10">
        <f>$C$6*B15</f>
        <v>0.006522712079</v>
      </c>
      <c r="E26" s="10">
        <f>$C$7*B15</f>
        <v>0.002139449562</v>
      </c>
      <c r="F26" s="10">
        <f>$C$8*B15</f>
        <v>0.0005263045923</v>
      </c>
      <c r="G26" s="10">
        <f>$C$9*B15</f>
        <v>0.0001035767438</v>
      </c>
      <c r="H26" s="10">
        <f>$C$10*B15</f>
        <v>0.00001698658598</v>
      </c>
    </row>
    <row r="27">
      <c r="A27" s="2">
        <v>2.0</v>
      </c>
      <c r="B27" s="10">
        <f t="shared" si="21"/>
        <v>0.03151441133</v>
      </c>
      <c r="C27" s="10">
        <f t="shared" si="22"/>
        <v>0.03101018075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0.03685703502</v>
      </c>
      <c r="C28" s="10">
        <f t="shared" si="22"/>
        <v>0.03626732246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0.0287369275</v>
      </c>
      <c r="C29" s="10">
        <f t="shared" si="22"/>
        <v>0.02827713666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0.01680434281</v>
      </c>
      <c r="C30" s="10">
        <f t="shared" si="22"/>
        <v>0.01653547333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0.007861270135</v>
      </c>
      <c r="C31" s="10">
        <f t="shared" si="22"/>
        <v>0.007735489813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leipzig</v>
      </c>
      <c r="J33" s="2" t="s">
        <v>17</v>
      </c>
      <c r="K33" s="7" t="str">
        <f>B13</f>
        <v>union berlin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0.0002994173884</v>
      </c>
      <c r="C36" s="10">
        <f t="shared" ref="C36:C41" si="24">$C$5*B25</f>
        <v>0.0002946267101</v>
      </c>
      <c r="D36" s="10">
        <f>$C$6*B25</f>
        <v>0.0001449563414</v>
      </c>
      <c r="E36" s="10">
        <f>$C$7*B25</f>
        <v>0.00004754567998</v>
      </c>
      <c r="F36" s="10">
        <f>$C$8*B25</f>
        <v>0.00001169623727</v>
      </c>
      <c r="G36" s="10">
        <f>$C$9*B25</f>
        <v>0.000002301819496</v>
      </c>
      <c r="H36" s="10">
        <f>$C$10*B25</f>
        <v>0.0000003774983973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0.005036423449</v>
      </c>
      <c r="C37" s="10">
        <f t="shared" si="24"/>
        <v>0.004955840673</v>
      </c>
      <c r="D37" s="7">
        <f t="shared" ref="D37:H37" si="25">D27*D17</f>
        <v>0.007955639883</v>
      </c>
      <c r="E37" s="7">
        <f t="shared" si="25"/>
        <v>0.001565669929</v>
      </c>
      <c r="F37" s="7">
        <f t="shared" si="25"/>
        <v>0.0002567698683</v>
      </c>
      <c r="G37" s="7">
        <f t="shared" si="25"/>
        <v>0.00003609450721</v>
      </c>
      <c r="H37" s="7">
        <f t="shared" si="25"/>
        <v>0.000004439624386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0.007955639883</v>
      </c>
      <c r="N37" s="7">
        <f>E27*D18</f>
        <v>0.003721742344</v>
      </c>
      <c r="O37" s="7">
        <f>F27*D19</f>
        <v>0.001450895872</v>
      </c>
      <c r="P37" s="7">
        <f>G27*D20</f>
        <v>0.000484818738</v>
      </c>
      <c r="Q37" s="7">
        <f>H27*D21</f>
        <v>0.000141752459</v>
      </c>
    </row>
    <row r="38">
      <c r="A38" s="2">
        <v>3.0</v>
      </c>
      <c r="B38" s="10">
        <f t="shared" si="23"/>
        <v>0.01178049201</v>
      </c>
      <c r="C38" s="10">
        <f t="shared" si="24"/>
        <v>0.01159200414</v>
      </c>
      <c r="D38" s="10"/>
      <c r="E38" s="7">
        <f t="shared" ref="E38:H38" si="28">E28*E18</f>
        <v>0.003662194467</v>
      </c>
      <c r="F38" s="7">
        <f t="shared" si="28"/>
        <v>0.0006005998925</v>
      </c>
      <c r="G38" s="7">
        <f t="shared" si="28"/>
        <v>0.00008442718489</v>
      </c>
      <c r="H38" s="7">
        <f t="shared" si="28"/>
        <v>0.00001038454374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0.003662194467</v>
      </c>
      <c r="O38" s="7">
        <f>F28*E19</f>
        <v>0.001427681538</v>
      </c>
      <c r="P38" s="7">
        <f>G28*E20</f>
        <v>0.0004770616382</v>
      </c>
      <c r="Q38" s="7">
        <f>H28*E21</f>
        <v>0.0001394844197</v>
      </c>
    </row>
    <row r="39">
      <c r="A39" s="2">
        <v>4.0</v>
      </c>
      <c r="B39" s="10">
        <f t="shared" si="23"/>
        <v>0.01377763341</v>
      </c>
      <c r="C39" s="10">
        <f t="shared" si="24"/>
        <v>0.01355719128</v>
      </c>
      <c r="D39" s="10"/>
      <c r="E39" s="10"/>
      <c r="F39" s="7">
        <f t="shared" ref="F39:H39" si="29">F29*F19</f>
        <v>0.0007024193167</v>
      </c>
      <c r="G39" s="7">
        <f t="shared" si="29"/>
        <v>0.0000987400868</v>
      </c>
      <c r="H39" s="7">
        <f t="shared" si="29"/>
        <v>0.00001214503068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0.0007024193167</v>
      </c>
      <c r="P39" s="7">
        <f>G29*F20</f>
        <v>0.000234714326</v>
      </c>
      <c r="Q39" s="7">
        <f>H29*F21</f>
        <v>0.00006862633449</v>
      </c>
    </row>
    <row r="40">
      <c r="A40" s="2">
        <v>5.0</v>
      </c>
      <c r="B40" s="10">
        <f t="shared" si="23"/>
        <v>0.01074223285</v>
      </c>
      <c r="C40" s="10">
        <f t="shared" si="24"/>
        <v>0.01057035713</v>
      </c>
      <c r="D40" s="10"/>
      <c r="E40" s="10"/>
      <c r="F40" s="10"/>
      <c r="G40" s="7">
        <f t="shared" ref="G40:H40" si="30">G30*G20</f>
        <v>0.00007698629893</v>
      </c>
      <c r="H40" s="7">
        <f t="shared" si="30"/>
        <v>0.000009469314768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0.00007698629893</v>
      </c>
      <c r="Q40" s="7">
        <f>H30*G21</f>
        <v>0.00002250943771</v>
      </c>
    </row>
    <row r="41">
      <c r="A41" s="2">
        <v>6.0</v>
      </c>
      <c r="B41" s="10">
        <f t="shared" si="23"/>
        <v>0.006281679329</v>
      </c>
      <c r="C41" s="10">
        <f t="shared" si="24"/>
        <v>0.00618117246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18</v>
      </c>
      <c r="C1" s="1" t="s">
        <v>19</v>
      </c>
      <c r="D1" s="2" t="s">
        <v>2</v>
      </c>
      <c r="G1" s="2" t="str">
        <f t="shared" ref="G1:H1" si="1">B1</f>
        <v>brest</v>
      </c>
      <c r="H1" s="2" t="str">
        <f t="shared" si="1"/>
        <v>lens</v>
      </c>
      <c r="J1" s="3" t="str">
        <f>G1</f>
        <v>brest</v>
      </c>
      <c r="K1" s="3" t="s">
        <v>3</v>
      </c>
      <c r="L1" s="3" t="s">
        <v>4</v>
      </c>
      <c r="M1" s="3" t="s">
        <v>5</v>
      </c>
      <c r="N1" s="3" t="str">
        <f>H1</f>
        <v>lens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0.38310851087433795</v>
      </c>
      <c r="C2" s="1">
        <v>0.1254309338229978</v>
      </c>
      <c r="D2" s="2" t="s">
        <v>7</v>
      </c>
      <c r="E2" s="1">
        <v>2.5</v>
      </c>
      <c r="F2" s="2" t="s">
        <v>8</v>
      </c>
      <c r="G2" s="1">
        <v>6.18</v>
      </c>
      <c r="H2" s="1">
        <v>1.617</v>
      </c>
      <c r="J2" s="3"/>
      <c r="K2" s="4"/>
      <c r="L2" s="5">
        <v>2.4</v>
      </c>
      <c r="M2" s="6">
        <f t="shared" ref="M2:M11" si="3">IFERROR(-ln(1-(1/L2)),0)</f>
        <v>0.5389965007</v>
      </c>
      <c r="N2" s="3"/>
      <c r="O2" s="4"/>
      <c r="P2" s="5">
        <v>3.25</v>
      </c>
      <c r="Q2" s="6">
        <f t="shared" ref="Q2:Q11" si="4">IFERROR(-ln(1-(1/P2)),0)</f>
        <v>0.3677247801</v>
      </c>
    </row>
    <row r="3">
      <c r="A3" s="2" t="s">
        <v>5</v>
      </c>
      <c r="B3" s="7">
        <f t="shared" ref="B3:C3" si="2">-ln(B2)</f>
        <v>0.9594370117</v>
      </c>
      <c r="C3" s="7">
        <f t="shared" si="2"/>
        <v>2.076</v>
      </c>
      <c r="D3" s="2" t="s">
        <v>9</v>
      </c>
      <c r="E3" s="1">
        <v>1.71</v>
      </c>
      <c r="F3" s="2" t="s">
        <v>10</v>
      </c>
      <c r="G3" s="8">
        <f>1/(1/G2+SUM(D37:H40))</f>
        <v>5.553293202</v>
      </c>
      <c r="H3" s="8">
        <f>1/(1/H2+SUM(M37:Q40))</f>
        <v>1.580809036</v>
      </c>
      <c r="J3" s="3"/>
      <c r="K3" s="4"/>
      <c r="L3" s="5">
        <v>3.75</v>
      </c>
      <c r="M3" s="6">
        <f t="shared" si="3"/>
        <v>0.3101549283</v>
      </c>
      <c r="N3" s="3"/>
      <c r="O3" s="4"/>
      <c r="P3" s="5">
        <v>3.75</v>
      </c>
      <c r="Q3" s="6">
        <f t="shared" si="4"/>
        <v>0.3101549283</v>
      </c>
    </row>
    <row r="4">
      <c r="A4" s="2" t="s">
        <v>11</v>
      </c>
      <c r="J4" s="3"/>
      <c r="K4" s="4"/>
      <c r="L4" s="5">
        <v>5.0</v>
      </c>
      <c r="M4" s="6">
        <f t="shared" si="3"/>
        <v>0.2231435513</v>
      </c>
      <c r="N4" s="3"/>
      <c r="O4" s="4"/>
      <c r="P4" s="5">
        <v>3.9</v>
      </c>
      <c r="Q4" s="6">
        <f t="shared" si="4"/>
        <v>0.2962658161</v>
      </c>
    </row>
    <row r="5">
      <c r="A5" s="2">
        <v>1.0</v>
      </c>
      <c r="B5" s="7">
        <f t="shared" ref="B5:C5" si="5">((B$3^$A5)/FACT($A5))*EXP(-B$3)</f>
        <v>0.3675684848</v>
      </c>
      <c r="C5" s="7">
        <f t="shared" si="5"/>
        <v>0.2603946186</v>
      </c>
      <c r="D5" s="2">
        <v>1.5</v>
      </c>
      <c r="E5" s="7">
        <f>1/(B2*(C2+C5)+B5*C2)</f>
        <v>5.156831862</v>
      </c>
      <c r="J5" s="3"/>
      <c r="K5" s="4"/>
      <c r="L5" s="5">
        <v>8.0</v>
      </c>
      <c r="M5" s="6">
        <f t="shared" si="3"/>
        <v>0.1335313926</v>
      </c>
      <c r="N5" s="3"/>
      <c r="O5" s="4"/>
      <c r="P5" s="5">
        <v>4.75</v>
      </c>
      <c r="Q5" s="6">
        <f t="shared" si="4"/>
        <v>0.2363887781</v>
      </c>
    </row>
    <row r="6">
      <c r="A6" s="2">
        <v>2.0</v>
      </c>
      <c r="B6" s="7">
        <f t="shared" ref="B6:C6" si="6">((B$3^$A6)/FACT($A6))*EXP(-B$3)</f>
        <v>0.1763294043</v>
      </c>
      <c r="C6" s="7">
        <f t="shared" si="6"/>
        <v>0.2702896141</v>
      </c>
      <c r="D6" s="2">
        <v>2.5</v>
      </c>
      <c r="E6" s="7">
        <f>1/(B2*(C2+C5+C6)+B5*(C2+C5)+B6*C2)</f>
        <v>2.407910777</v>
      </c>
      <c r="F6" s="2" t="s">
        <v>12</v>
      </c>
      <c r="J6" s="3"/>
      <c r="K6" s="4"/>
      <c r="L6" s="5">
        <v>3.5</v>
      </c>
      <c r="M6" s="6">
        <f t="shared" si="3"/>
        <v>0.3364722366</v>
      </c>
      <c r="N6" s="3"/>
      <c r="O6" s="4"/>
      <c r="P6" s="5">
        <v>6.5</v>
      </c>
      <c r="Q6" s="6">
        <f t="shared" si="4"/>
        <v>0.1670540847</v>
      </c>
    </row>
    <row r="7">
      <c r="A7" s="2">
        <v>3.0</v>
      </c>
      <c r="B7" s="7">
        <f t="shared" ref="B7:C7" si="7">((B$3^$A7)/FACT($A7))*EXP(-B$3)</f>
        <v>0.05639231893</v>
      </c>
      <c r="C7" s="7">
        <f t="shared" si="7"/>
        <v>0.187040413</v>
      </c>
      <c r="D7" s="2">
        <v>3.5</v>
      </c>
      <c r="E7" s="7">
        <f>1/(B2*(C2+C5+C6+C7)+B5*(C2+C5+C6)+B6*(C2+C5)+B7*C2)</f>
        <v>1.564227819</v>
      </c>
      <c r="F7" s="7" t="str">
        <f>B1</f>
        <v>brest</v>
      </c>
      <c r="G7" s="2" t="s">
        <v>13</v>
      </c>
      <c r="H7" s="7" t="str">
        <f>C1</f>
        <v>lens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15.0</v>
      </c>
      <c r="Q7" s="6">
        <f t="shared" si="4"/>
        <v>0.06899287149</v>
      </c>
    </row>
    <row r="8">
      <c r="A8" s="2">
        <v>4.0</v>
      </c>
      <c r="B8" s="7">
        <f t="shared" ref="B8:C8" si="8">((B$3^$A8)/FACT($A8))*EXP(-B$3)</f>
        <v>0.01352621949</v>
      </c>
      <c r="C8" s="7">
        <f t="shared" si="8"/>
        <v>0.09707397433</v>
      </c>
      <c r="D8" s="2">
        <v>4.5</v>
      </c>
      <c r="E8" s="7">
        <f>1/(B2*(C2+C5+C6+C7+C8)+B5*(C2+C5+C6+C7)+B6*(C2+C5+C6)+B7*(C2+C5)+B8*C2)</f>
        <v>1.235675488</v>
      </c>
      <c r="F8" s="7">
        <f>B5*C2+B6*(C5+C2)+B7*(C6+C5+C2)+B8*(C7+C6+C5+C2)+B9*(C8+C7+C6+C5+C2)+B10*(C9+C8+C7+C6+C5+C2)+B11*(C10+C9+C8+C7+C6+C5+C2)+B12*(C11+C10+C9+C8+C7+C6+C5+C2)</f>
        <v>0.165452132</v>
      </c>
      <c r="G8" s="7">
        <f>B2*C2+B5*C5+B6*C6+B7*C7+B8*C8+B9*C9+B10*C10+B11*C11+B12*C12</f>
        <v>0.2033978498</v>
      </c>
      <c r="H8" s="7">
        <f>C5*B2+C6*(B5+B2)+C7*(B6+B5+B2)+C8*(B7+B6+B5+B2)+C9*(B8+B7+B6+B5+B2)+C10*(B9+B8+B7+B6+B5+B2)+C11*(B10+B9+B7+B8+B6+B5+B2)</f>
        <v>0.629765318</v>
      </c>
      <c r="J8" s="3"/>
      <c r="K8" s="4"/>
      <c r="L8" s="5">
        <v>6.0</v>
      </c>
      <c r="M8" s="6">
        <f t="shared" si="3"/>
        <v>0.1823215568</v>
      </c>
      <c r="N8" s="3"/>
      <c r="O8" s="4"/>
      <c r="P8" s="5">
        <v>23.0</v>
      </c>
      <c r="Q8" s="6">
        <f t="shared" si="4"/>
        <v>0.04445176257</v>
      </c>
    </row>
    <row r="9">
      <c r="A9" s="2">
        <v>5.0</v>
      </c>
      <c r="B9" s="7">
        <f t="shared" ref="B9:C9" si="9">((B$3^$A9)/FACT($A9))*EXP(-B$3)</f>
        <v>0.002595511121</v>
      </c>
      <c r="C9" s="7">
        <f t="shared" si="9"/>
        <v>0.04030511414</v>
      </c>
      <c r="F9" s="9">
        <f t="shared" ref="F9:H9" si="10">1/F8</f>
        <v>6.044044208</v>
      </c>
      <c r="G9" s="9">
        <f t="shared" si="10"/>
        <v>4.91647282</v>
      </c>
      <c r="H9" s="9">
        <f t="shared" si="10"/>
        <v>1.587893095</v>
      </c>
      <c r="J9" s="3"/>
      <c r="K9" s="4"/>
      <c r="L9" s="5">
        <v>5.0</v>
      </c>
      <c r="M9" s="6">
        <f t="shared" si="3"/>
        <v>0.2231435513</v>
      </c>
      <c r="N9" s="3"/>
      <c r="O9" s="4"/>
      <c r="P9" s="5">
        <v>23.0</v>
      </c>
      <c r="Q9" s="6">
        <f t="shared" si="4"/>
        <v>0.04445176257</v>
      </c>
    </row>
    <row r="10">
      <c r="A10" s="2">
        <v>6.0</v>
      </c>
      <c r="B10" s="7">
        <f t="shared" ref="B10:C10" si="11">((B$3^$A10)/FACT($A10))*EXP(-B$3)</f>
        <v>0.000415038239</v>
      </c>
      <c r="C10" s="7">
        <f t="shared" si="11"/>
        <v>0.01394556949</v>
      </c>
      <c r="J10" s="3"/>
      <c r="K10" s="4"/>
      <c r="L10" s="5">
        <v>12.0</v>
      </c>
      <c r="M10" s="6">
        <f t="shared" si="3"/>
        <v>0.08701137699</v>
      </c>
      <c r="N10" s="3"/>
      <c r="O10" s="4"/>
      <c r="P10" s="5">
        <v>28.0</v>
      </c>
      <c r="Q10" s="6">
        <f t="shared" si="4"/>
        <v>0.03636764417</v>
      </c>
    </row>
    <row r="11">
      <c r="A11" s="2">
        <v>7.0</v>
      </c>
      <c r="B11" s="7">
        <f t="shared" ref="B11:C11" si="12">((B$3^$A11)/FACT($A11))*EXP(-B$3)</f>
        <v>0.00005688614968</v>
      </c>
      <c r="C11" s="7">
        <f t="shared" si="12"/>
        <v>0.004135857467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36.0</v>
      </c>
      <c r="Q11" s="6">
        <f t="shared" si="4"/>
        <v>0.02817087697</v>
      </c>
    </row>
    <row r="12">
      <c r="A12" s="2">
        <v>8.0</v>
      </c>
      <c r="B12" s="7">
        <f t="shared" ref="B12:C12" si="13">((B$3^$A12)/FACT($A12))*EXP(-B$3)</f>
        <v>0.000006822334683</v>
      </c>
      <c r="C12" s="7">
        <f t="shared" si="13"/>
        <v>0.001073255013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lens</v>
      </c>
      <c r="J13" s="3"/>
      <c r="K13" s="3"/>
      <c r="L13" s="3" t="s">
        <v>14</v>
      </c>
      <c r="M13" s="6">
        <f>SUM(M2:M11)</f>
        <v>2.209128482</v>
      </c>
      <c r="N13" s="3"/>
      <c r="O13" s="3"/>
      <c r="P13" s="3" t="s">
        <v>14</v>
      </c>
      <c r="Q13" s="6">
        <f>SUM(Q2:Q11)</f>
        <v>1.600023305</v>
      </c>
    </row>
    <row r="14">
      <c r="A14" s="7" t="str">
        <f>B1</f>
        <v>brest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1.829980682</v>
      </c>
      <c r="N14" s="3"/>
      <c r="O14" s="3"/>
      <c r="P14" s="3" t="s">
        <v>15</v>
      </c>
      <c r="Q14" s="6">
        <f>SUM(Q2:Q8)</f>
        <v>1.491033021</v>
      </c>
    </row>
    <row r="15">
      <c r="A15" s="2">
        <v>0.0</v>
      </c>
      <c r="B15" s="7">
        <f>B2*$C$2</f>
        <v>0.04805365827</v>
      </c>
      <c r="C15" s="7">
        <f>C5*B2</f>
        <v>0.09975939458</v>
      </c>
      <c r="D15" s="7">
        <f>C6*B2</f>
        <v>0.1035502516</v>
      </c>
      <c r="E15" s="7">
        <f>C7*B2</f>
        <v>0.07165677409</v>
      </c>
      <c r="F15" s="7">
        <f>C8*B2</f>
        <v>0.03718986575</v>
      </c>
      <c r="G15" s="7">
        <f>C9*B2</f>
        <v>0.01544123226</v>
      </c>
      <c r="H15" s="7">
        <f>$C$10*B2</f>
        <v>0.005342666362</v>
      </c>
    </row>
    <row r="16">
      <c r="A16" s="2">
        <v>1.0</v>
      </c>
      <c r="B16" s="7">
        <f t="shared" ref="B16:B21" si="14">B5*$C$2</f>
        <v>0.0461044583</v>
      </c>
      <c r="C16" s="7">
        <f t="shared" ref="C16:C21" si="15">$C$5*B5</f>
        <v>0.09571285542</v>
      </c>
      <c r="D16" s="7">
        <f t="shared" ref="D16:D21" si="16">$C$6*B5</f>
        <v>0.09934994393</v>
      </c>
      <c r="E16" s="7">
        <f t="shared" ref="E16:E21" si="17">$C$7*B5</f>
        <v>0.0687501612</v>
      </c>
      <c r="F16" s="7">
        <f t="shared" ref="F16:F21" si="18">$C$8*B5</f>
        <v>0.03568133366</v>
      </c>
      <c r="G16" s="7">
        <f t="shared" ref="G16:G21" si="19">$C$9*B5</f>
        <v>0.01481488974</v>
      </c>
      <c r="H16" s="7">
        <f t="shared" ref="H16:H21" si="20">$C$10*B5</f>
        <v>0.005125951849</v>
      </c>
    </row>
    <row r="17">
      <c r="A17" s="2">
        <v>2.0</v>
      </c>
      <c r="B17" s="7">
        <f t="shared" si="14"/>
        <v>0.02211716185</v>
      </c>
      <c r="C17" s="7">
        <f t="shared" si="15"/>
        <v>0.045915228</v>
      </c>
      <c r="D17" s="7">
        <f t="shared" si="16"/>
        <v>0.04766000666</v>
      </c>
      <c r="E17" s="7">
        <f t="shared" si="17"/>
        <v>0.03298072461</v>
      </c>
      <c r="F17" s="7">
        <f t="shared" si="18"/>
        <v>0.01711699607</v>
      </c>
      <c r="G17" s="7">
        <f t="shared" si="19"/>
        <v>0.007106976769</v>
      </c>
      <c r="H17" s="7">
        <f t="shared" si="20"/>
        <v>0.002459013962</v>
      </c>
    </row>
    <row r="18">
      <c r="A18" s="2">
        <v>3.0</v>
      </c>
      <c r="B18" s="7">
        <f t="shared" si="14"/>
        <v>0.007073341224</v>
      </c>
      <c r="C18" s="7">
        <f t="shared" si="15"/>
        <v>0.01468425638</v>
      </c>
      <c r="D18" s="7">
        <f t="shared" si="16"/>
        <v>0.01524225812</v>
      </c>
      <c r="E18" s="7">
        <f t="shared" si="17"/>
        <v>0.01054764262</v>
      </c>
      <c r="F18" s="7">
        <f t="shared" si="18"/>
        <v>0.00547422652</v>
      </c>
      <c r="G18" s="7">
        <f t="shared" si="19"/>
        <v>0.002272898851</v>
      </c>
      <c r="H18" s="7">
        <f t="shared" si="20"/>
        <v>0.0007864230025</v>
      </c>
    </row>
    <row r="19">
      <c r="A19" s="2">
        <v>4.0</v>
      </c>
      <c r="B19" s="7">
        <f t="shared" si="14"/>
        <v>0.001696606342</v>
      </c>
      <c r="C19" s="7">
        <f t="shared" si="15"/>
        <v>0.003522154765</v>
      </c>
      <c r="D19" s="7">
        <f t="shared" si="16"/>
        <v>0.003655996646</v>
      </c>
      <c r="E19" s="7">
        <f t="shared" si="17"/>
        <v>0.002529949679</v>
      </c>
      <c r="F19" s="7">
        <f t="shared" si="18"/>
        <v>0.001313043884</v>
      </c>
      <c r="G19" s="7">
        <f t="shared" si="19"/>
        <v>0.0005451758204</v>
      </c>
      <c r="H19" s="7">
        <f t="shared" si="20"/>
        <v>0.0001886308339</v>
      </c>
    </row>
    <row r="20">
      <c r="A20" s="2">
        <v>5.0</v>
      </c>
      <c r="B20" s="7">
        <f t="shared" si="14"/>
        <v>0.0003255573837</v>
      </c>
      <c r="C20" s="7">
        <f t="shared" si="15"/>
        <v>0.0006758571285</v>
      </c>
      <c r="D20" s="7">
        <f t="shared" si="16"/>
        <v>0.0007015396994</v>
      </c>
      <c r="E20" s="7">
        <f t="shared" si="17"/>
        <v>0.000485465472</v>
      </c>
      <c r="F20" s="7">
        <f t="shared" si="18"/>
        <v>0.00025195658</v>
      </c>
      <c r="G20" s="7">
        <f t="shared" si="19"/>
        <v>0.000104612372</v>
      </c>
      <c r="H20" s="7">
        <f t="shared" si="20"/>
        <v>0.00003619588071</v>
      </c>
    </row>
    <row r="21">
      <c r="A21" s="2">
        <v>6.0</v>
      </c>
      <c r="B21" s="7">
        <f t="shared" si="14"/>
        <v>0.00005205863389</v>
      </c>
      <c r="C21" s="7">
        <f t="shared" si="15"/>
        <v>0.000108073724</v>
      </c>
      <c r="D21" s="7">
        <f t="shared" si="16"/>
        <v>0.0001121805255</v>
      </c>
      <c r="E21" s="7">
        <f t="shared" si="17"/>
        <v>0.00007762892363</v>
      </c>
      <c r="F21" s="7">
        <f t="shared" si="18"/>
        <v>0.00004028941136</v>
      </c>
      <c r="G21" s="7">
        <f t="shared" si="19"/>
        <v>0.0000167281636</v>
      </c>
      <c r="H21" s="7">
        <f t="shared" si="20"/>
        <v>0.000005787944605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0.0000008557318101</v>
      </c>
      <c r="C25" s="10">
        <f>C15*B12</f>
        <v>0.0000006805919776</v>
      </c>
      <c r="D25" s="10">
        <f>C16*B12</f>
        <v>0.0000006529851331</v>
      </c>
      <c r="E25" s="10">
        <f>C17*B12</f>
        <v>0.0000003132490524</v>
      </c>
      <c r="F25" s="10">
        <f>C18*B12</f>
        <v>0.0000001001809116</v>
      </c>
      <c r="G25" s="10">
        <f>C19*B12</f>
        <v>0.00000002402931861</v>
      </c>
      <c r="H25" s="10">
        <f>$C$10*B12</f>
        <v>0.00000009514134243</v>
      </c>
    </row>
    <row r="26">
      <c r="A26" s="2">
        <v>1.0</v>
      </c>
      <c r="B26" s="10">
        <f t="shared" ref="B26:B31" si="21">B15*$C$2</f>
        <v>0.006027415231</v>
      </c>
      <c r="C26" s="10">
        <f t="shared" ref="C26:C31" si="22">$C$5*B15</f>
        <v>0.01251291402</v>
      </c>
      <c r="D26" s="10">
        <f>$C$6*B15</f>
        <v>0.01298840475</v>
      </c>
      <c r="E26" s="10">
        <f>$C$7*B15</f>
        <v>0.008987976089</v>
      </c>
      <c r="F26" s="10">
        <f>$C$8*B15</f>
        <v>0.00466475959</v>
      </c>
      <c r="G26" s="10">
        <f>$C$9*B15</f>
        <v>0.001936808182</v>
      </c>
      <c r="H26" s="10">
        <f>$C$10*B15</f>
        <v>0.0006701356309</v>
      </c>
    </row>
    <row r="27">
      <c r="A27" s="2">
        <v>2.0</v>
      </c>
      <c r="B27" s="10">
        <f t="shared" si="21"/>
        <v>0.005782925258</v>
      </c>
      <c r="C27" s="10">
        <f t="shared" si="22"/>
        <v>0.01200535283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0.002774176264</v>
      </c>
      <c r="C28" s="10">
        <f t="shared" si="22"/>
        <v>0.005759189924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0.0008872157949</v>
      </c>
      <c r="C29" s="10">
        <f t="shared" si="22"/>
        <v>0.00184185999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0.0002128069178</v>
      </c>
      <c r="C30" s="10">
        <f t="shared" si="22"/>
        <v>0.0004417871613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0.00004083496665</v>
      </c>
      <c r="C31" s="10">
        <f t="shared" si="22"/>
        <v>0.00008477339076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brest</v>
      </c>
      <c r="J33" s="2" t="s">
        <v>17</v>
      </c>
      <c r="K33" s="7" t="str">
        <f>B13</f>
        <v>lens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0.00000010733524</v>
      </c>
      <c r="C36" s="10">
        <f t="shared" ref="C36:C41" si="24">$C$5*B25</f>
        <v>0.0000002228279583</v>
      </c>
      <c r="D36" s="10">
        <f>$C$6*B25</f>
        <v>0.0000002312954207</v>
      </c>
      <c r="E36" s="10">
        <f>$C$7*B25</f>
        <v>0.0000001600564312</v>
      </c>
      <c r="F36" s="10">
        <f>$C$8*B25</f>
        <v>0.00000008306928777</v>
      </c>
      <c r="G36" s="10">
        <f>$C$9*B25</f>
        <v>0.00000003449036828</v>
      </c>
      <c r="H36" s="10">
        <f>$C$10*B25</f>
        <v>0.00000001193366743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0.000756024321</v>
      </c>
      <c r="C37" s="10">
        <f t="shared" si="24"/>
        <v>0.00156950649</v>
      </c>
      <c r="D37" s="7">
        <f t="shared" ref="D37:H37" si="25">D27*D17</f>
        <v>0.007943334443</v>
      </c>
      <c r="E37" s="7">
        <f t="shared" si="25"/>
        <v>0.003298072461</v>
      </c>
      <c r="F37" s="7">
        <f t="shared" si="25"/>
        <v>0.001141133071</v>
      </c>
      <c r="G37" s="7">
        <f t="shared" si="25"/>
        <v>0.0003384274652</v>
      </c>
      <c r="H37" s="7">
        <f t="shared" si="25"/>
        <v>0.00008782192722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0.007943334443</v>
      </c>
      <c r="N37" s="7">
        <f>E27*D18</f>
        <v>0.001524225812</v>
      </c>
      <c r="O37" s="7">
        <f>F27*D19</f>
        <v>0.0002437331098</v>
      </c>
      <c r="P37" s="7">
        <f>G27*D20</f>
        <v>0.00003340665235</v>
      </c>
      <c r="Q37" s="7">
        <f>H27*D21</f>
        <v>0.000004006447338</v>
      </c>
    </row>
    <row r="38">
      <c r="A38" s="2">
        <v>3.0</v>
      </c>
      <c r="B38" s="10">
        <f t="shared" si="23"/>
        <v>0.0007253577153</v>
      </c>
      <c r="C38" s="10">
        <f t="shared" si="24"/>
        <v>0.001505842617</v>
      </c>
      <c r="D38" s="10"/>
      <c r="E38" s="7">
        <f t="shared" ref="E38:H38" si="28">E28*E18</f>
        <v>0.003164292786</v>
      </c>
      <c r="F38" s="7">
        <f t="shared" si="28"/>
        <v>0.001094845304</v>
      </c>
      <c r="G38" s="7">
        <f t="shared" si="28"/>
        <v>0.0003246998359</v>
      </c>
      <c r="H38" s="7">
        <f t="shared" si="28"/>
        <v>0.00008425960741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0.003164292786</v>
      </c>
      <c r="O38" s="7">
        <f>F28*E19</f>
        <v>0.0005059899358</v>
      </c>
      <c r="P38" s="7">
        <f>G28*E20</f>
        <v>0.00006935221029</v>
      </c>
      <c r="Q38" s="7">
        <f>H28*E21</f>
        <v>0.000008317384674</v>
      </c>
    </row>
    <row r="39">
      <c r="A39" s="2">
        <v>4.0</v>
      </c>
      <c r="B39" s="10">
        <f t="shared" si="23"/>
        <v>0.0003479675194</v>
      </c>
      <c r="C39" s="10">
        <f t="shared" si="24"/>
        <v>0.0007223805703</v>
      </c>
      <c r="D39" s="10"/>
      <c r="E39" s="10"/>
      <c r="F39" s="7">
        <f t="shared" ref="F39:H39" si="29">F29*F19</f>
        <v>0.0005252175534</v>
      </c>
      <c r="G39" s="7">
        <f t="shared" si="29"/>
        <v>0.0001557645201</v>
      </c>
      <c r="H39" s="7">
        <f t="shared" si="29"/>
        <v>0.00004042089297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0.0005252175534</v>
      </c>
      <c r="P39" s="7">
        <f>G29*F20</f>
        <v>0.00007198759428</v>
      </c>
      <c r="Q39" s="7">
        <f>H29*F21</f>
        <v>0.000008633445292</v>
      </c>
    </row>
    <row r="40">
      <c r="A40" s="2">
        <v>5.0</v>
      </c>
      <c r="B40" s="10">
        <f t="shared" si="23"/>
        <v>0.0001112843057</v>
      </c>
      <c r="C40" s="10">
        <f t="shared" si="24"/>
        <v>0.0002310262186</v>
      </c>
      <c r="D40" s="10"/>
      <c r="E40" s="10"/>
      <c r="F40" s="10"/>
      <c r="G40" s="7">
        <f t="shared" ref="G40:H40" si="30">G30*G20</f>
        <v>0.00004981541524</v>
      </c>
      <c r="H40" s="7">
        <f t="shared" si="30"/>
        <v>0.00001292710025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0.00004981541524</v>
      </c>
      <c r="Q40" s="7">
        <f>H30*G21</f>
        <v>0.000005974344142</v>
      </c>
    </row>
    <row r="41">
      <c r="A41" s="2">
        <v>6.0</v>
      </c>
      <c r="B41" s="10">
        <f t="shared" si="23"/>
        <v>0.00002669257042</v>
      </c>
      <c r="C41" s="10">
        <f t="shared" si="24"/>
        <v>0.00005541377619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20</v>
      </c>
      <c r="C1" s="1" t="s">
        <v>21</v>
      </c>
      <c r="D1" s="2" t="s">
        <v>2</v>
      </c>
      <c r="G1" s="2" t="str">
        <f t="shared" ref="G1:H1" si="1">B1</f>
        <v>napoli</v>
      </c>
      <c r="H1" s="2" t="str">
        <f t="shared" si="1"/>
        <v>cremonese</v>
      </c>
      <c r="J1" s="3" t="str">
        <f>G1</f>
        <v>napoli</v>
      </c>
      <c r="K1" s="3" t="s">
        <v>3</v>
      </c>
      <c r="L1" s="3" t="s">
        <v>4</v>
      </c>
      <c r="M1" s="3" t="s">
        <v>5</v>
      </c>
      <c r="N1" s="3" t="str">
        <f>H1</f>
        <v>cremonese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0.12370884940545761</v>
      </c>
      <c r="C2" s="1">
        <v>0.5632678551220044</v>
      </c>
      <c r="D2" s="2" t="s">
        <v>7</v>
      </c>
      <c r="E2" s="1">
        <v>2.5</v>
      </c>
      <c r="F2" s="2" t="s">
        <v>8</v>
      </c>
      <c r="G2" s="1">
        <v>1.395</v>
      </c>
      <c r="H2" s="1">
        <v>11.35</v>
      </c>
      <c r="J2" s="3"/>
      <c r="K2" s="4"/>
      <c r="L2" s="5">
        <v>3.5</v>
      </c>
      <c r="M2" s="6">
        <f t="shared" ref="M2:M11" si="3">IFERROR(-ln(1-(1/L2)),0)</f>
        <v>0.3364722366</v>
      </c>
      <c r="N2" s="3"/>
      <c r="O2" s="4"/>
      <c r="P2" s="5">
        <v>2.0</v>
      </c>
      <c r="Q2" s="6">
        <f t="shared" ref="Q2:Q11" si="4">IFERROR(-ln(1-(1/P2)),0)</f>
        <v>0.6931471806</v>
      </c>
    </row>
    <row r="3">
      <c r="A3" s="2" t="s">
        <v>5</v>
      </c>
      <c r="B3" s="7">
        <f t="shared" ref="B3:C3" si="2">-ln(B2)</f>
        <v>2.089824463</v>
      </c>
      <c r="C3" s="7">
        <f t="shared" si="2"/>
        <v>0.574</v>
      </c>
      <c r="D3" s="2" t="s">
        <v>9</v>
      </c>
      <c r="E3" s="1">
        <v>2.01</v>
      </c>
      <c r="F3" s="2" t="s">
        <v>10</v>
      </c>
      <c r="G3" s="8">
        <f>1/(1/G2+SUM(D37:H40))</f>
        <v>1.383556511</v>
      </c>
      <c r="H3" s="8">
        <f>1/(1/H2+SUM(M37:Q40))</f>
        <v>10.36324065</v>
      </c>
      <c r="J3" s="3"/>
      <c r="K3" s="4"/>
      <c r="L3" s="5">
        <v>5.0</v>
      </c>
      <c r="M3" s="6">
        <f t="shared" si="3"/>
        <v>0.2231435513</v>
      </c>
      <c r="N3" s="3"/>
      <c r="O3" s="4"/>
      <c r="P3" s="5">
        <v>1.9</v>
      </c>
      <c r="Q3" s="6">
        <f t="shared" si="4"/>
        <v>0.7472144018</v>
      </c>
    </row>
    <row r="4">
      <c r="A4" s="2" t="s">
        <v>11</v>
      </c>
      <c r="J4" s="3"/>
      <c r="K4" s="4"/>
      <c r="L4" s="5">
        <v>5.5</v>
      </c>
      <c r="M4" s="6">
        <f t="shared" si="3"/>
        <v>0.2006706955</v>
      </c>
      <c r="N4" s="3"/>
      <c r="O4" s="4"/>
      <c r="P4" s="5">
        <v>2.25</v>
      </c>
      <c r="Q4" s="6">
        <f t="shared" si="4"/>
        <v>0.5877866649</v>
      </c>
    </row>
    <row r="5">
      <c r="A5" s="2">
        <v>1.0</v>
      </c>
      <c r="B5" s="7">
        <f t="shared" ref="B5:C5" si="5">((B$3^$A5)/FACT($A5))*EXP(-B$3)</f>
        <v>0.2585297798</v>
      </c>
      <c r="C5" s="7">
        <f t="shared" si="5"/>
        <v>0.3233157488</v>
      </c>
      <c r="D5" s="2">
        <v>1.5</v>
      </c>
      <c r="E5" s="7">
        <f>1/(B2*(C2+C5)+B5*C2)</f>
        <v>3.916964242</v>
      </c>
      <c r="J5" s="3"/>
      <c r="K5" s="4"/>
      <c r="L5" s="5">
        <v>6.0</v>
      </c>
      <c r="M5" s="6">
        <f t="shared" si="3"/>
        <v>0.1823215568</v>
      </c>
      <c r="N5" s="3"/>
      <c r="O5" s="4"/>
      <c r="P5" s="5">
        <v>3.0</v>
      </c>
      <c r="Q5" s="6">
        <f t="shared" si="4"/>
        <v>0.4054651081</v>
      </c>
    </row>
    <row r="6">
      <c r="A6" s="2">
        <v>2.0</v>
      </c>
      <c r="B6" s="7">
        <f t="shared" ref="B6:C6" si="6">((B$3^$A6)/FACT($A6))*EXP(-B$3)</f>
        <v>0.2701409291</v>
      </c>
      <c r="C6" s="7">
        <f t="shared" si="6"/>
        <v>0.09279161992</v>
      </c>
      <c r="D6" s="2">
        <v>2.5</v>
      </c>
      <c r="E6" s="7">
        <f>1/(B2*(C2+C5+C6)+B5*(C2+C5)+B6*C2)</f>
        <v>1.989941452</v>
      </c>
      <c r="F6" s="2" t="s">
        <v>12</v>
      </c>
      <c r="J6" s="3"/>
      <c r="K6" s="4"/>
      <c r="L6" s="5">
        <v>7.0</v>
      </c>
      <c r="M6" s="6">
        <f t="shared" si="3"/>
        <v>0.1541506798</v>
      </c>
      <c r="N6" s="3"/>
      <c r="O6" s="4"/>
      <c r="P6" s="5">
        <v>8.0</v>
      </c>
      <c r="Q6" s="6">
        <f t="shared" si="4"/>
        <v>0.1335313926</v>
      </c>
    </row>
    <row r="7">
      <c r="A7" s="2">
        <v>3.0</v>
      </c>
      <c r="B7" s="7">
        <f t="shared" ref="B7:C7" si="7">((B$3^$A7)/FACT($A7))*EXP(-B$3)</f>
        <v>0.188182374</v>
      </c>
      <c r="C7" s="7">
        <f t="shared" si="7"/>
        <v>0.01775412994</v>
      </c>
      <c r="D7" s="2">
        <v>3.5</v>
      </c>
      <c r="E7" s="7">
        <f>1/(B2*(C2+C5+C6+C7)+B5*(C2+C5+C6)+B6*(C2+C5)+B7*C2)</f>
        <v>1.384943748</v>
      </c>
      <c r="F7" s="7" t="str">
        <f>B1</f>
        <v>napoli</v>
      </c>
      <c r="G7" s="2" t="s">
        <v>13</v>
      </c>
      <c r="H7" s="7" t="str">
        <f>C1</f>
        <v>cremonese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8.0</v>
      </c>
      <c r="Q7" s="6">
        <f t="shared" si="4"/>
        <v>0.1335313926</v>
      </c>
    </row>
    <row r="8">
      <c r="A8" s="2">
        <v>4.0</v>
      </c>
      <c r="B8" s="7">
        <f t="shared" ref="B8:C8" si="8">((B$3^$A8)/FACT($A8))*EXP(-B$3)</f>
        <v>0.09831703217</v>
      </c>
      <c r="C8" s="7">
        <f t="shared" si="8"/>
        <v>0.002547717647</v>
      </c>
      <c r="D8" s="2">
        <v>4.5</v>
      </c>
      <c r="E8" s="7">
        <f>1/(B2*(C2+C5+C6+C7+C8)+B5*(C2+C5+C6+C7)+B6*(C2+C5+C6)+B7*(C2+C5)+B8*C2)</f>
        <v>1.151749841</v>
      </c>
      <c r="F8" s="7">
        <f>B5*C2+B6*(C5+C2)+B7*(C6+C5+C2)+B8*(C7+C6+C5+C2)+B9*(C8+C7+C6+C5+C2)+B10*(C9+C8+C7+C6+C5+C2)+B11*(C10+C9+C8+C7+C6+C5+C2)+B12*(C11+C10+C9+C8+C7+C6+C5+C2)</f>
        <v>0.7282415225</v>
      </c>
      <c r="G8" s="7">
        <f>B2*C2+B5*C5+B6*C6+B7*C7+B8*C8+B9*C9+B10*C10+B11*C11+B12*C12</f>
        <v>0.1819387097</v>
      </c>
      <c r="H8" s="7">
        <f>C5*B2+C6*(B5+B2)+C7*(B6+B5+B2)+C8*(B7+B6+B5+B2)+C9*(B8+B7+B6+B5+B2)+C10*(B9+B8+B7+B6+B5+B2)+C11*(B10+B9+B7+B8+B6+B5+B2)</f>
        <v>0.08949380951</v>
      </c>
      <c r="J8" s="3"/>
      <c r="K8" s="4"/>
      <c r="L8" s="5">
        <v>12.0</v>
      </c>
      <c r="M8" s="6">
        <f t="shared" si="3"/>
        <v>0.08701137699</v>
      </c>
      <c r="N8" s="3"/>
      <c r="O8" s="4"/>
      <c r="P8" s="5">
        <v>8.0</v>
      </c>
      <c r="Q8" s="6">
        <f t="shared" si="4"/>
        <v>0.1335313926</v>
      </c>
    </row>
    <row r="9">
      <c r="A9" s="2">
        <v>5.0</v>
      </c>
      <c r="B9" s="7">
        <f t="shared" ref="B9:C9" si="9">((B$3^$A9)/FACT($A9))*EXP(-B$3)</f>
        <v>0.04109306779</v>
      </c>
      <c r="C9" s="7">
        <f t="shared" si="9"/>
        <v>0.0002924779859</v>
      </c>
      <c r="F9" s="9">
        <f t="shared" ref="F9:H9" si="10">1/F8</f>
        <v>1.373170808</v>
      </c>
      <c r="G9" s="9">
        <f t="shared" si="10"/>
        <v>5.496356448</v>
      </c>
      <c r="H9" s="9">
        <f t="shared" si="10"/>
        <v>11.17395723</v>
      </c>
      <c r="J9" s="3"/>
      <c r="K9" s="4"/>
      <c r="L9" s="5">
        <v>15.0</v>
      </c>
      <c r="M9" s="6">
        <f t="shared" si="3"/>
        <v>0.06899287149</v>
      </c>
      <c r="N9" s="3"/>
      <c r="O9" s="4"/>
      <c r="P9" s="5">
        <v>8.0</v>
      </c>
      <c r="Q9" s="6">
        <f t="shared" si="4"/>
        <v>0.1335313926</v>
      </c>
    </row>
    <row r="10">
      <c r="A10" s="2">
        <v>6.0</v>
      </c>
      <c r="B10" s="7">
        <f t="shared" ref="B10:C10" si="11">((B$3^$A10)/FACT($A10))*EXP(-B$3)</f>
        <v>0.01431288305</v>
      </c>
      <c r="C10" s="7">
        <f t="shared" si="11"/>
        <v>0.00002798039398</v>
      </c>
      <c r="J10" s="3"/>
      <c r="K10" s="4"/>
      <c r="L10" s="5">
        <v>15.0</v>
      </c>
      <c r="M10" s="6">
        <f t="shared" si="3"/>
        <v>0.06899287149</v>
      </c>
      <c r="N10" s="3"/>
      <c r="O10" s="4"/>
      <c r="P10" s="5">
        <v>10.0</v>
      </c>
      <c r="Q10" s="6">
        <f t="shared" si="4"/>
        <v>0.1053605157</v>
      </c>
    </row>
    <row r="11">
      <c r="A11" s="2">
        <v>7.0</v>
      </c>
      <c r="B11" s="7">
        <f t="shared" ref="B11:C11" si="12">((B$3^$A11)/FACT($A11))*EXP(-B$3)</f>
        <v>0.00427305902</v>
      </c>
      <c r="C11" s="7">
        <f t="shared" si="12"/>
        <v>0.000002294392307</v>
      </c>
      <c r="J11" s="3"/>
      <c r="K11" s="4"/>
      <c r="L11" s="5">
        <v>20.0</v>
      </c>
      <c r="M11" s="6">
        <f t="shared" si="3"/>
        <v>0.05129329439</v>
      </c>
      <c r="N11" s="3"/>
      <c r="O11" s="4"/>
      <c r="P11" s="5">
        <v>10.0</v>
      </c>
      <c r="Q11" s="6">
        <f t="shared" si="4"/>
        <v>0.1053605157</v>
      </c>
    </row>
    <row r="12">
      <c r="A12" s="2">
        <v>8.0</v>
      </c>
      <c r="B12" s="7">
        <f t="shared" ref="B12:C12" si="13">((B$3^$A12)/FACT($A12))*EXP(-B$3)</f>
        <v>0.001116242909</v>
      </c>
      <c r="C12" s="7">
        <f t="shared" si="13"/>
        <v>0.000000164622648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cremonese</v>
      </c>
      <c r="J13" s="3"/>
      <c r="K13" s="3"/>
      <c r="L13" s="3" t="s">
        <v>14</v>
      </c>
      <c r="M13" s="6">
        <f>SUM(M2:M11)</f>
        <v>1.47840965</v>
      </c>
      <c r="N13" s="3"/>
      <c r="O13" s="3"/>
      <c r="P13" s="3" t="s">
        <v>14</v>
      </c>
      <c r="Q13" s="6">
        <f>SUM(Q2:Q11)</f>
        <v>3.178459957</v>
      </c>
    </row>
    <row r="14">
      <c r="A14" s="7" t="str">
        <f>B1</f>
        <v>napoli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1.289130613</v>
      </c>
      <c r="N14" s="3"/>
      <c r="O14" s="3"/>
      <c r="P14" s="3" t="s">
        <v>15</v>
      </c>
      <c r="Q14" s="6">
        <f>SUM(Q2:Q8)</f>
        <v>2.834207533</v>
      </c>
    </row>
    <row r="15">
      <c r="A15" s="2">
        <v>0.0</v>
      </c>
      <c r="B15" s="7">
        <f>B2*$C$2</f>
        <v>0.06968121826</v>
      </c>
      <c r="C15" s="7">
        <f>C5*B2</f>
        <v>0.03999701928</v>
      </c>
      <c r="D15" s="7">
        <f>C6*B2</f>
        <v>0.01147914453</v>
      </c>
      <c r="E15" s="7">
        <f>C7*B2</f>
        <v>0.002196342988</v>
      </c>
      <c r="F15" s="7">
        <f>C8*B2</f>
        <v>0.0003151752187</v>
      </c>
      <c r="G15" s="7">
        <f>C9*B2</f>
        <v>0.00003618211511</v>
      </c>
      <c r="H15" s="7">
        <f>$C$10*B2</f>
        <v>0.000003461422345</v>
      </c>
    </row>
    <row r="16">
      <c r="A16" s="2">
        <v>1.0</v>
      </c>
      <c r="B16" s="7">
        <f t="shared" ref="B16:B21" si="14">B5*$C$2</f>
        <v>0.1456215145</v>
      </c>
      <c r="C16" s="7">
        <f t="shared" ref="C16:C21" si="15">$C$5*B5</f>
        <v>0.08358674934</v>
      </c>
      <c r="D16" s="7">
        <f t="shared" ref="D16:D21" si="16">$C$6*B5</f>
        <v>0.02398939706</v>
      </c>
      <c r="E16" s="7">
        <f t="shared" ref="E16:E21" si="17">$C$7*B5</f>
        <v>0.004589971304</v>
      </c>
      <c r="F16" s="7">
        <f t="shared" ref="F16:F21" si="18">$C$8*B5</f>
        <v>0.0006586608822</v>
      </c>
      <c r="G16" s="7">
        <f t="shared" ref="G16:G21" si="19">$C$9*B5</f>
        <v>0.00007561426927</v>
      </c>
      <c r="H16" s="7">
        <f t="shared" ref="H16:H21" si="20">$C$10*B5</f>
        <v>0.000007233765094</v>
      </c>
    </row>
    <row r="17">
      <c r="A17" s="2">
        <v>2.0</v>
      </c>
      <c r="B17" s="7">
        <f t="shared" si="14"/>
        <v>0.1521617017</v>
      </c>
      <c r="C17" s="7">
        <f t="shared" si="15"/>
        <v>0.08734081677</v>
      </c>
      <c r="D17" s="7">
        <f t="shared" si="16"/>
        <v>0.02506681441</v>
      </c>
      <c r="E17" s="7">
        <f t="shared" si="17"/>
        <v>0.004796117158</v>
      </c>
      <c r="F17" s="7">
        <f t="shared" si="18"/>
        <v>0.0006882428122</v>
      </c>
      <c r="G17" s="7">
        <f t="shared" si="19"/>
        <v>0.00007901027484</v>
      </c>
      <c r="H17" s="7">
        <f t="shared" si="20"/>
        <v>0.000007558649626</v>
      </c>
    </row>
    <row r="18">
      <c r="A18" s="2">
        <v>3.0</v>
      </c>
      <c r="B18" s="7">
        <f t="shared" si="14"/>
        <v>0.1059970822</v>
      </c>
      <c r="C18" s="7">
        <f t="shared" si="15"/>
        <v>0.06084232517</v>
      </c>
      <c r="D18" s="7">
        <f t="shared" si="16"/>
        <v>0.01746174732</v>
      </c>
      <c r="E18" s="7">
        <f t="shared" si="17"/>
        <v>0.003341014321</v>
      </c>
      <c r="F18" s="7">
        <f t="shared" si="18"/>
        <v>0.0004794355551</v>
      </c>
      <c r="G18" s="7">
        <f t="shared" si="19"/>
        <v>0.00005503920172</v>
      </c>
      <c r="H18" s="7">
        <f t="shared" si="20"/>
        <v>0.000005265416965</v>
      </c>
    </row>
    <row r="19">
      <c r="A19" s="2">
        <v>4.0</v>
      </c>
      <c r="B19" s="7">
        <f t="shared" si="14"/>
        <v>0.05537882383</v>
      </c>
      <c r="C19" s="7">
        <f t="shared" si="15"/>
        <v>0.03178744488</v>
      </c>
      <c r="D19" s="7">
        <f t="shared" si="16"/>
        <v>0.00912299668</v>
      </c>
      <c r="E19" s="7">
        <f t="shared" si="17"/>
        <v>0.001745533365</v>
      </c>
      <c r="F19" s="7">
        <f t="shared" si="18"/>
        <v>0.0002504840378</v>
      </c>
      <c r="G19" s="7">
        <f t="shared" si="19"/>
        <v>0.00002875556755</v>
      </c>
      <c r="H19" s="7">
        <f t="shared" si="20"/>
        <v>0.000002750949295</v>
      </c>
    </row>
    <row r="20">
      <c r="A20" s="2">
        <v>5.0</v>
      </c>
      <c r="B20" s="7">
        <f t="shared" si="14"/>
        <v>0.02314640415</v>
      </c>
      <c r="C20" s="7">
        <f t="shared" si="15"/>
        <v>0.01328603598</v>
      </c>
      <c r="D20" s="7">
        <f t="shared" si="16"/>
        <v>0.003813092327</v>
      </c>
      <c r="E20" s="7">
        <f t="shared" si="17"/>
        <v>0.0007295716653</v>
      </c>
      <c r="F20" s="7">
        <f t="shared" si="18"/>
        <v>0.000104693534</v>
      </c>
      <c r="G20" s="7">
        <f t="shared" si="19"/>
        <v>0.0000120188177</v>
      </c>
      <c r="H20" s="7">
        <f t="shared" si="20"/>
        <v>0.000001149800227</v>
      </c>
    </row>
    <row r="21">
      <c r="A21" s="2">
        <v>6.0</v>
      </c>
      <c r="B21" s="7">
        <f t="shared" si="14"/>
        <v>0.008061986938</v>
      </c>
      <c r="C21" s="7">
        <f t="shared" si="15"/>
        <v>0.004627580502</v>
      </c>
      <c r="D21" s="7">
        <f t="shared" si="16"/>
        <v>0.001328115604</v>
      </c>
      <c r="E21" s="7">
        <f t="shared" si="17"/>
        <v>0.0002541127856</v>
      </c>
      <c r="F21" s="7">
        <f t="shared" si="18"/>
        <v>0.00003646518473</v>
      </c>
      <c r="G21" s="7">
        <f t="shared" si="19"/>
        <v>0.000004186203207</v>
      </c>
      <c r="H21" s="7">
        <f t="shared" si="20"/>
        <v>0.0000004004801068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0.0006287437491</v>
      </c>
      <c r="C25" s="10">
        <f>C15*B12</f>
        <v>0.00004464638915</v>
      </c>
      <c r="D25" s="10">
        <f>C16*B12</f>
        <v>0.00009330311623</v>
      </c>
      <c r="E25" s="10">
        <f>C17*B12</f>
        <v>0.00009749356738</v>
      </c>
      <c r="F25" s="10">
        <f>C18*B12</f>
        <v>0.00006791481403</v>
      </c>
      <c r="G25" s="10">
        <f>C19*B12</f>
        <v>0.00003548250994</v>
      </c>
      <c r="H25" s="10">
        <f>$C$10*B12</f>
        <v>0.00000003123291637</v>
      </c>
    </row>
    <row r="26">
      <c r="A26" s="2">
        <v>1.0</v>
      </c>
      <c r="B26" s="10">
        <f t="shared" ref="B26:B31" si="21">B15*$C$2</f>
        <v>0.03924919035</v>
      </c>
      <c r="C26" s="10">
        <f t="shared" ref="C26:C31" si="22">$C$5*B15</f>
        <v>0.02252903526</v>
      </c>
      <c r="D26" s="10">
        <f>$C$6*B15</f>
        <v>0.006465833121</v>
      </c>
      <c r="E26" s="10">
        <f>$C$7*B15</f>
        <v>0.001237129404</v>
      </c>
      <c r="F26" s="10">
        <f>$C$8*B15</f>
        <v>0.0001775280694</v>
      </c>
      <c r="G26" s="10">
        <f>$C$9*B15</f>
        <v>0.00002038022237</v>
      </c>
      <c r="H26" s="10">
        <f>$C$10*B15</f>
        <v>0.00000194970794</v>
      </c>
    </row>
    <row r="27">
      <c r="A27" s="2">
        <v>2.0</v>
      </c>
      <c r="B27" s="10">
        <f t="shared" si="21"/>
        <v>0.08202391815</v>
      </c>
      <c r="C27" s="10">
        <f t="shared" si="22"/>
        <v>0.04708172902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0.08570779535</v>
      </c>
      <c r="C28" s="10">
        <f t="shared" si="22"/>
        <v>0.04919627453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0.05970474913</v>
      </c>
      <c r="C29" s="10">
        <f t="shared" si="22"/>
        <v>0.034270526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0.03119311132</v>
      </c>
      <c r="C30" s="10">
        <f t="shared" si="22"/>
        <v>0.0179048459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0.01303762542</v>
      </c>
      <c r="C31" s="10">
        <f t="shared" si="22"/>
        <v>0.007483596992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napoli</v>
      </c>
      <c r="J33" s="2" t="s">
        <v>17</v>
      </c>
      <c r="K33" s="7" t="str">
        <f>B13</f>
        <v>cremonese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0.000354151143</v>
      </c>
      <c r="C36" s="10">
        <f t="shared" ref="C36:C41" si="24">$C$5*B25</f>
        <v>0.0002032827561</v>
      </c>
      <c r="D36" s="10">
        <f>$C$6*B25</f>
        <v>0.00005834215099</v>
      </c>
      <c r="E36" s="10">
        <f>$C$7*B25</f>
        <v>0.00001116279822</v>
      </c>
      <c r="F36" s="10">
        <f>$C$8*B25</f>
        <v>0.000001601861545</v>
      </c>
      <c r="G36" s="10">
        <f>$C$9*B25</f>
        <v>0.0000001838937054</v>
      </c>
      <c r="H36" s="10">
        <f>$C$10*B25</f>
        <v>0.00000001759249781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0.02210780727</v>
      </c>
      <c r="C37" s="10">
        <f t="shared" si="24"/>
        <v>0.01268988137</v>
      </c>
      <c r="D37" s="7">
        <f t="shared" ref="D37:H37" si="25">D27*D17</f>
        <v>0.004177802402</v>
      </c>
      <c r="E37" s="7">
        <f t="shared" si="25"/>
        <v>0.0004796117158</v>
      </c>
      <c r="F37" s="7">
        <f t="shared" si="25"/>
        <v>0.00004588285414</v>
      </c>
      <c r="G37" s="7">
        <f t="shared" si="25"/>
        <v>0.00000376239404</v>
      </c>
      <c r="H37" s="7">
        <f t="shared" si="25"/>
        <v>0.0000002699517724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0.004177802402</v>
      </c>
      <c r="N37" s="7">
        <f>E27*D18</f>
        <v>0.001746174732</v>
      </c>
      <c r="O37" s="7">
        <f>F27*D19</f>
        <v>0.0006081997787</v>
      </c>
      <c r="P37" s="7">
        <f>G27*D20</f>
        <v>0.0001815758251</v>
      </c>
      <c r="Q37" s="7">
        <f>H27*D21</f>
        <v>0.00004743270015</v>
      </c>
    </row>
    <row r="38">
      <c r="A38" s="2">
        <v>3.0</v>
      </c>
      <c r="B38" s="10">
        <f t="shared" si="23"/>
        <v>0.04620143645</v>
      </c>
      <c r="C38" s="10">
        <f t="shared" si="24"/>
        <v>0.02651962452</v>
      </c>
      <c r="D38" s="10"/>
      <c r="E38" s="7">
        <f t="shared" ref="E38:H38" si="28">E28*E18</f>
        <v>0.001002304296</v>
      </c>
      <c r="F38" s="7">
        <f t="shared" si="28"/>
        <v>0.00009588711102</v>
      </c>
      <c r="G38" s="7">
        <f t="shared" si="28"/>
        <v>0.000007862743103</v>
      </c>
      <c r="H38" s="7">
        <f t="shared" si="28"/>
        <v>0.0000005641518177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0.001002304296</v>
      </c>
      <c r="O38" s="7">
        <f>F28*E19</f>
        <v>0.000349106673</v>
      </c>
      <c r="P38" s="7">
        <f>G28*E20</f>
        <v>0.0001042245236</v>
      </c>
      <c r="Q38" s="7">
        <f>H28*E21</f>
        <v>0.00002722636989</v>
      </c>
    </row>
    <row r="39">
      <c r="A39" s="2">
        <v>4.0</v>
      </c>
      <c r="B39" s="10">
        <f t="shared" si="23"/>
        <v>0.04827644605</v>
      </c>
      <c r="C39" s="10">
        <f t="shared" si="24"/>
        <v>0.02771068003</v>
      </c>
      <c r="D39" s="10"/>
      <c r="E39" s="10"/>
      <c r="F39" s="7">
        <f t="shared" ref="F39:H39" si="29">F29*F19</f>
        <v>0.0001001936151</v>
      </c>
      <c r="G39" s="7">
        <f t="shared" si="29"/>
        <v>0.000008215876441</v>
      </c>
      <c r="H39" s="7">
        <f t="shared" si="29"/>
        <v>0.0000005894891347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0.0001001936151</v>
      </c>
      <c r="P39" s="7">
        <f>G29*F20</f>
        <v>0.00002991243828</v>
      </c>
      <c r="Q39" s="7">
        <f>H29*F21</f>
        <v>0.000007813968157</v>
      </c>
    </row>
    <row r="40">
      <c r="A40" s="2">
        <v>5.0</v>
      </c>
      <c r="B40" s="10">
        <f t="shared" si="23"/>
        <v>0.03362976598</v>
      </c>
      <c r="C40" s="10">
        <f t="shared" si="24"/>
        <v>0.01930348567</v>
      </c>
      <c r="D40" s="10"/>
      <c r="E40" s="10"/>
      <c r="F40" s="10"/>
      <c r="G40" s="7">
        <f t="shared" ref="G40:H40" si="30">G30*G20</f>
        <v>0.000005723246524</v>
      </c>
      <c r="H40" s="7">
        <f t="shared" si="30"/>
        <v>0.0000004106429381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0.000005723246524</v>
      </c>
      <c r="Q40" s="7">
        <f>H30*G21</f>
        <v>0.000001495072574</v>
      </c>
    </row>
    <row r="41">
      <c r="A41" s="2">
        <v>6.0</v>
      </c>
      <c r="B41" s="10">
        <f t="shared" si="23"/>
        <v>0.01757007691</v>
      </c>
      <c r="C41" s="10">
        <f t="shared" si="24"/>
        <v>0.01008522414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22</v>
      </c>
      <c r="C1" s="1" t="s">
        <v>23</v>
      </c>
      <c r="D1" s="2" t="s">
        <v>2</v>
      </c>
      <c r="G1" s="2" t="str">
        <f t="shared" ref="G1:H1" si="1">B1</f>
        <v>sundeland</v>
      </c>
      <c r="H1" s="2" t="str">
        <f t="shared" si="1"/>
        <v>nottingham</v>
      </c>
      <c r="J1" s="3" t="str">
        <f>G1</f>
        <v>sundeland</v>
      </c>
      <c r="K1" s="3" t="s">
        <v>3</v>
      </c>
      <c r="L1" s="3" t="s">
        <v>4</v>
      </c>
      <c r="M1" s="3" t="s">
        <v>5</v>
      </c>
      <c r="N1" s="3" t="str">
        <f>H1</f>
        <v>nottingham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0.29555527196425835</v>
      </c>
      <c r="C2" s="1">
        <v>0.2928777478112946</v>
      </c>
      <c r="D2" s="2" t="s">
        <v>7</v>
      </c>
      <c r="E2" s="1">
        <v>2.5</v>
      </c>
      <c r="F2" s="2" t="s">
        <v>8</v>
      </c>
      <c r="G2" s="1">
        <v>2.87</v>
      </c>
      <c r="H2" s="1">
        <v>2.83</v>
      </c>
      <c r="J2" s="3"/>
      <c r="K2" s="4"/>
      <c r="L2" s="5">
        <v>2.4</v>
      </c>
      <c r="M2" s="6">
        <f t="shared" ref="M2:M11" si="3">IFERROR(-ln(1-(1/L2)),0)</f>
        <v>0.5389965007</v>
      </c>
      <c r="N2" s="3"/>
      <c r="O2" s="4"/>
      <c r="P2" s="5">
        <v>3.25</v>
      </c>
      <c r="Q2" s="6">
        <f t="shared" ref="Q2:Q11" si="4">IFERROR(-ln(1-(1/P2)),0)</f>
        <v>0.3677247801</v>
      </c>
    </row>
    <row r="3">
      <c r="A3" s="2" t="s">
        <v>5</v>
      </c>
      <c r="B3" s="7">
        <f t="shared" ref="B3:C3" si="2">-ln(B2)</f>
        <v>1.218899414</v>
      </c>
      <c r="C3" s="7">
        <f t="shared" si="2"/>
        <v>1.228</v>
      </c>
      <c r="D3" s="2" t="s">
        <v>9</v>
      </c>
      <c r="E3" s="1">
        <v>2.26</v>
      </c>
      <c r="F3" s="2" t="s">
        <v>10</v>
      </c>
      <c r="G3" s="8">
        <f>1/(1/G2+SUM(D37:H40))</f>
        <v>2.759476218</v>
      </c>
      <c r="H3" s="8">
        <f>1/(1/H2+SUM(M37:Q40))</f>
        <v>2.722688218</v>
      </c>
      <c r="J3" s="3"/>
      <c r="K3" s="4"/>
      <c r="L3" s="5">
        <v>3.75</v>
      </c>
      <c r="M3" s="6">
        <f t="shared" si="3"/>
        <v>0.3101549283</v>
      </c>
      <c r="N3" s="3"/>
      <c r="O3" s="4"/>
      <c r="P3" s="5">
        <v>2.4</v>
      </c>
      <c r="Q3" s="6">
        <f t="shared" si="4"/>
        <v>0.5389965007</v>
      </c>
    </row>
    <row r="4">
      <c r="A4" s="2" t="s">
        <v>11</v>
      </c>
      <c r="J4" s="3"/>
      <c r="K4" s="4"/>
      <c r="L4" s="5">
        <v>5.0</v>
      </c>
      <c r="M4" s="6">
        <f t="shared" si="3"/>
        <v>0.2231435513</v>
      </c>
      <c r="N4" s="3"/>
      <c r="O4" s="4"/>
      <c r="P4" s="5">
        <v>2.75</v>
      </c>
      <c r="Q4" s="6">
        <f t="shared" si="4"/>
        <v>0.4519851237</v>
      </c>
    </row>
    <row r="5">
      <c r="A5" s="2">
        <v>1.0</v>
      </c>
      <c r="B5" s="7">
        <f t="shared" ref="B5:C5" si="5">((B$3^$A5)/FACT($A5))*EXP(-B$3)</f>
        <v>0.3602521478</v>
      </c>
      <c r="C5" s="7">
        <f t="shared" si="5"/>
        <v>0.3596538743</v>
      </c>
      <c r="D5" s="2">
        <v>1.5</v>
      </c>
      <c r="E5" s="7">
        <f>1/(B2*(C2+C5)+B5*C2)</f>
        <v>3.351554633</v>
      </c>
      <c r="J5" s="3"/>
      <c r="K5" s="4"/>
      <c r="L5" s="5">
        <v>8.0</v>
      </c>
      <c r="M5" s="6">
        <f t="shared" si="3"/>
        <v>0.1335313926</v>
      </c>
      <c r="N5" s="3"/>
      <c r="O5" s="4"/>
      <c r="P5" s="5">
        <v>3.75</v>
      </c>
      <c r="Q5" s="6">
        <f t="shared" si="4"/>
        <v>0.3101549283</v>
      </c>
    </row>
    <row r="6">
      <c r="A6" s="2">
        <v>2.0</v>
      </c>
      <c r="B6" s="7">
        <f t="shared" ref="B6:C6" si="6">((B$3^$A6)/FACT($A6))*EXP(-B$3)</f>
        <v>0.2195555659</v>
      </c>
      <c r="C6" s="7">
        <f t="shared" si="6"/>
        <v>0.2208274788</v>
      </c>
      <c r="D6" s="2">
        <v>2.5</v>
      </c>
      <c r="E6" s="7">
        <f>1/(B2*(C2+C5+C6)+B5*(C2+C5)+B6*C2)</f>
        <v>1.793706708</v>
      </c>
      <c r="F6" s="2" t="s">
        <v>12</v>
      </c>
      <c r="J6" s="3"/>
      <c r="K6" s="4"/>
      <c r="L6" s="5">
        <v>3.5</v>
      </c>
      <c r="M6" s="6">
        <f t="shared" si="3"/>
        <v>0.3364722366</v>
      </c>
      <c r="N6" s="3"/>
      <c r="O6" s="4"/>
      <c r="P6" s="5">
        <v>11.0</v>
      </c>
      <c r="Q6" s="6">
        <f t="shared" si="4"/>
        <v>0.0953101798</v>
      </c>
    </row>
    <row r="7">
      <c r="A7" s="2">
        <v>3.0</v>
      </c>
      <c r="B7" s="7">
        <f t="shared" ref="B7:C7" si="7">((B$3^$A7)/FACT($A7))*EXP(-B$3)</f>
        <v>0.08920538356</v>
      </c>
      <c r="C7" s="7">
        <f t="shared" si="7"/>
        <v>0.090392048</v>
      </c>
      <c r="D7" s="2">
        <v>3.5</v>
      </c>
      <c r="E7" s="7">
        <f>1/(B2*(C2+C5+C6+C7)+B5*(C2+C5+C6)+B6*(C2+C5)+B7*C2)</f>
        <v>1.300619381</v>
      </c>
      <c r="F7" s="7" t="str">
        <f>B1</f>
        <v>sundeland</v>
      </c>
      <c r="G7" s="2" t="s">
        <v>13</v>
      </c>
      <c r="H7" s="7" t="str">
        <f>C1</f>
        <v>nottingham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12.0</v>
      </c>
      <c r="Q7" s="6">
        <f t="shared" si="4"/>
        <v>0.08701137699</v>
      </c>
    </row>
    <row r="8">
      <c r="A8" s="2">
        <v>4.0</v>
      </c>
      <c r="B8" s="7">
        <f t="shared" ref="B8:C8" si="8">((B$3^$A8)/FACT($A8))*EXP(-B$3)</f>
        <v>0.02718309744</v>
      </c>
      <c r="C8" s="7">
        <f t="shared" si="8"/>
        <v>0.02775035874</v>
      </c>
      <c r="D8" s="2">
        <v>4.5</v>
      </c>
      <c r="E8" s="7">
        <f>1/(B2*(C2+C5+C6+C7+C8)+B5*(C2+C5+C6+C7)+B6*(C2+C5+C6)+B7*(C2+C5)+B8*C2)</f>
        <v>1.113389317</v>
      </c>
      <c r="F8" s="7">
        <f>B5*C2+B6*(C5+C2)+B7*(C6+C5+C2)+B8*(C7+C6+C5+C2)+B9*(C8+C7+C6+C5+C2)+B10*(C9+C8+C7+C6+C5+C2)+B11*(C10+C9+C8+C7+C6+C5+C2)+B12*(C11+C10+C9+C8+C7+C6+C5+C2)</f>
        <v>0.3610672445</v>
      </c>
      <c r="G8" s="7">
        <f>B2*C2+B5*C5+B6*C6+B7*C7+B8*C8+B9*C9+B10*C10+B11*C11+B12*C12</f>
        <v>0.2734764439</v>
      </c>
      <c r="H8" s="7">
        <f>C5*B2+C6*(B5+B2)+C7*(B6+B5+B2)+C8*(B7+B6+B5+B2)+C9*(B8+B7+B6+B5+B2)+C10*(B9+B8+B7+B6+B5+B2)+C11*(B10+B9+B7+B8+B6+B5+B2)</f>
        <v>0.3654074187</v>
      </c>
      <c r="J8" s="3"/>
      <c r="K8" s="4"/>
      <c r="L8" s="5">
        <v>6.0</v>
      </c>
      <c r="M8" s="6">
        <f t="shared" si="3"/>
        <v>0.1823215568</v>
      </c>
      <c r="N8" s="3"/>
      <c r="O8" s="4"/>
      <c r="P8" s="5">
        <v>10.5</v>
      </c>
      <c r="Q8" s="6">
        <f t="shared" si="4"/>
        <v>0.1000834586</v>
      </c>
    </row>
    <row r="9">
      <c r="A9" s="2">
        <v>5.0</v>
      </c>
      <c r="B9" s="7">
        <f t="shared" ref="B9:C9" si="9">((B$3^$A9)/FACT($A9))*EXP(-B$3)</f>
        <v>0.006626692308</v>
      </c>
      <c r="C9" s="7">
        <f t="shared" si="9"/>
        <v>0.006815488106</v>
      </c>
      <c r="F9" s="9">
        <f t="shared" ref="F9:H9" si="10">1/F8</f>
        <v>2.769567207</v>
      </c>
      <c r="G9" s="9">
        <f t="shared" si="10"/>
        <v>3.656622069</v>
      </c>
      <c r="H9" s="9">
        <f t="shared" si="10"/>
        <v>2.736671312</v>
      </c>
      <c r="J9" s="3"/>
      <c r="K9" s="4"/>
      <c r="L9" s="5">
        <v>5.0</v>
      </c>
      <c r="M9" s="6">
        <f t="shared" si="3"/>
        <v>0.2231435513</v>
      </c>
      <c r="N9" s="3"/>
      <c r="O9" s="4"/>
      <c r="P9" s="5">
        <v>15.0</v>
      </c>
      <c r="Q9" s="6">
        <f t="shared" si="4"/>
        <v>0.06899287149</v>
      </c>
    </row>
    <row r="10">
      <c r="A10" s="2">
        <v>6.0</v>
      </c>
      <c r="B10" s="7">
        <f t="shared" ref="B10:C10" si="11">((B$3^$A10)/FACT($A10))*EXP(-B$3)</f>
        <v>0.001346211895</v>
      </c>
      <c r="C10" s="7">
        <f t="shared" si="11"/>
        <v>0.001394903232</v>
      </c>
      <c r="J10" s="3"/>
      <c r="K10" s="4"/>
      <c r="L10" s="5">
        <v>12.0</v>
      </c>
      <c r="M10" s="6">
        <f t="shared" si="3"/>
        <v>0.08701137699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0.0002344138415</v>
      </c>
      <c r="C11" s="7">
        <f t="shared" si="12"/>
        <v>0.0002447058813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12.5</v>
      </c>
      <c r="Q11" s="6">
        <f t="shared" si="4"/>
        <v>0.08338160894</v>
      </c>
    </row>
    <row r="12">
      <c r="A12" s="2">
        <v>8.0</v>
      </c>
      <c r="B12" s="7">
        <f t="shared" ref="B12:C12" si="13">((B$3^$A12)/FACT($A12))*EXP(-B$3)</f>
        <v>0.00003571586175</v>
      </c>
      <c r="C12" s="7">
        <f t="shared" si="13"/>
        <v>0.00003756235278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nottingham</v>
      </c>
      <c r="J13" s="3"/>
      <c r="K13" s="3"/>
      <c r="L13" s="3" t="s">
        <v>14</v>
      </c>
      <c r="M13" s="6">
        <f>SUM(M2:M11)</f>
        <v>2.209128482</v>
      </c>
      <c r="N13" s="3"/>
      <c r="O13" s="3"/>
      <c r="P13" s="3" t="s">
        <v>14</v>
      </c>
      <c r="Q13" s="6">
        <f>SUM(Q2:Q11)</f>
        <v>2.1726337</v>
      </c>
    </row>
    <row r="14">
      <c r="A14" s="7" t="str">
        <f>B1</f>
        <v>sundeland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1.829980682</v>
      </c>
      <c r="N14" s="3"/>
      <c r="O14" s="3"/>
      <c r="P14" s="3" t="s">
        <v>15</v>
      </c>
      <c r="Q14" s="6">
        <f>SUM(Q2:Q8)</f>
        <v>1.951266348</v>
      </c>
    </row>
    <row r="15">
      <c r="A15" s="2">
        <v>0.0</v>
      </c>
      <c r="B15" s="7">
        <f>B2*$C$2</f>
        <v>0.08656156241</v>
      </c>
      <c r="C15" s="7">
        <f>C5*B2</f>
        <v>0.1062975986</v>
      </c>
      <c r="D15" s="7">
        <f>C6*B2</f>
        <v>0.06526672556</v>
      </c>
      <c r="E15" s="7">
        <f>C7*B2</f>
        <v>0.02671584633</v>
      </c>
      <c r="F15" s="7">
        <f>C8*B2</f>
        <v>0.008201764823</v>
      </c>
      <c r="G15" s="7">
        <f>C9*B2</f>
        <v>0.002014353441</v>
      </c>
      <c r="H15" s="7">
        <f>$C$10*B2</f>
        <v>0.0004122710042</v>
      </c>
    </row>
    <row r="16">
      <c r="A16" s="2">
        <v>1.0</v>
      </c>
      <c r="B16" s="7">
        <f t="shared" ref="B16:B21" si="14">B5*$C$2</f>
        <v>0.1055098377</v>
      </c>
      <c r="C16" s="7">
        <f t="shared" ref="C16:C21" si="15">$C$5*B5</f>
        <v>0.1295660807</v>
      </c>
      <c r="D16" s="7">
        <f t="shared" ref="D16:D21" si="16">$C$6*B5</f>
        <v>0.07955357355</v>
      </c>
      <c r="E16" s="7">
        <f t="shared" ref="E16:E21" si="17">$C$7*B5</f>
        <v>0.03256392944</v>
      </c>
      <c r="F16" s="7">
        <f t="shared" ref="F16:F21" si="18">$C$8*B5</f>
        <v>0.009997126337</v>
      </c>
      <c r="G16" s="7">
        <f t="shared" ref="G16:G21" si="19">$C$9*B5</f>
        <v>0.002455294228</v>
      </c>
      <c r="H16" s="7">
        <f t="shared" ref="H16:H21" si="20">$C$10*B5</f>
        <v>0.0005025168854</v>
      </c>
    </row>
    <row r="17">
      <c r="A17" s="2">
        <v>2.0</v>
      </c>
      <c r="B17" s="7">
        <f t="shared" si="14"/>
        <v>0.06430293967</v>
      </c>
      <c r="C17" s="7">
        <f t="shared" si="15"/>
        <v>0.07896400992</v>
      </c>
      <c r="D17" s="7">
        <f t="shared" si="16"/>
        <v>0.04848390209</v>
      </c>
      <c r="E17" s="7">
        <f t="shared" si="17"/>
        <v>0.01984607726</v>
      </c>
      <c r="F17" s="7">
        <f t="shared" si="18"/>
        <v>0.006092745718</v>
      </c>
      <c r="G17" s="7">
        <f t="shared" si="19"/>
        <v>0.001496378348</v>
      </c>
      <c r="H17" s="7">
        <f t="shared" si="20"/>
        <v>0.0003062587686</v>
      </c>
    </row>
    <row r="18">
      <c r="A18" s="2">
        <v>3.0</v>
      </c>
      <c r="B18" s="7">
        <f t="shared" si="14"/>
        <v>0.02612627183</v>
      </c>
      <c r="C18" s="7">
        <f t="shared" si="15"/>
        <v>0.03208306181</v>
      </c>
      <c r="D18" s="7">
        <f t="shared" si="16"/>
        <v>0.01969899995</v>
      </c>
      <c r="E18" s="7">
        <f t="shared" si="17"/>
        <v>0.008063457313</v>
      </c>
      <c r="F18" s="7">
        <f t="shared" si="18"/>
        <v>0.002475481395</v>
      </c>
      <c r="G18" s="7">
        <f t="shared" si="19"/>
        <v>0.0006079782306</v>
      </c>
      <c r="H18" s="7">
        <f t="shared" si="20"/>
        <v>0.0001244328779</v>
      </c>
    </row>
    <row r="19">
      <c r="A19" s="2">
        <v>4.0</v>
      </c>
      <c r="B19" s="7">
        <f t="shared" si="14"/>
        <v>0.007961324356</v>
      </c>
      <c r="C19" s="7">
        <f t="shared" si="15"/>
        <v>0.00977650631</v>
      </c>
      <c r="D19" s="7">
        <f t="shared" si="16"/>
        <v>0.006002774874</v>
      </c>
      <c r="E19" s="7">
        <f t="shared" si="17"/>
        <v>0.002457135848</v>
      </c>
      <c r="F19" s="7">
        <f t="shared" si="18"/>
        <v>0.0007543407055</v>
      </c>
      <c r="G19" s="7">
        <f t="shared" si="19"/>
        <v>0.0001852660773</v>
      </c>
      <c r="H19" s="7">
        <f t="shared" si="20"/>
        <v>0.00003791779048</v>
      </c>
    </row>
    <row r="20">
      <c r="A20" s="2">
        <v>5.0</v>
      </c>
      <c r="B20" s="7">
        <f t="shared" si="14"/>
        <v>0.001940810719</v>
      </c>
      <c r="C20" s="7">
        <f t="shared" si="15"/>
        <v>0.002383315562</v>
      </c>
      <c r="D20" s="7">
        <f t="shared" si="16"/>
        <v>0.001463355755</v>
      </c>
      <c r="E20" s="7">
        <f t="shared" si="17"/>
        <v>0.0005990002892</v>
      </c>
      <c r="F20" s="7">
        <f t="shared" si="18"/>
        <v>0.0001838930888</v>
      </c>
      <c r="G20" s="7">
        <f t="shared" si="19"/>
        <v>0.00004516414261</v>
      </c>
      <c r="H20" s="7">
        <f t="shared" si="20"/>
        <v>0.00000924359452</v>
      </c>
    </row>
    <row r="21">
      <c r="A21" s="2">
        <v>6.0</v>
      </c>
      <c r="B21" s="7">
        <f t="shared" si="14"/>
        <v>0.000394275508</v>
      </c>
      <c r="C21" s="7">
        <f t="shared" si="15"/>
        <v>0.0004841703238</v>
      </c>
      <c r="D21" s="7">
        <f t="shared" si="16"/>
        <v>0.0002972805788</v>
      </c>
      <c r="E21" s="7">
        <f t="shared" si="17"/>
        <v>0.0001216868503</v>
      </c>
      <c r="F21" s="7">
        <f t="shared" si="18"/>
        <v>0.00003735786303</v>
      </c>
      <c r="G21" s="7">
        <f t="shared" si="19"/>
        <v>0.00000917509116</v>
      </c>
      <c r="H21" s="7">
        <f t="shared" si="20"/>
        <v>0.000001877835324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0.00001046038115</v>
      </c>
      <c r="C25" s="10">
        <f>C15*B12</f>
        <v>0.000003796510338</v>
      </c>
      <c r="D25" s="10">
        <f>C16*B12</f>
        <v>0.000004627564226</v>
      </c>
      <c r="E25" s="10">
        <f>C17*B12</f>
        <v>0.000002820267662</v>
      </c>
      <c r="F25" s="10">
        <f>C18*B12</f>
        <v>0.0000011458742</v>
      </c>
      <c r="G25" s="10">
        <f>C19*B12</f>
        <v>0.0000003491763478</v>
      </c>
      <c r="H25" s="10">
        <f>$C$10*B12</f>
        <v>0.000000049820171</v>
      </c>
    </row>
    <row r="26">
      <c r="A26" s="2">
        <v>1.0</v>
      </c>
      <c r="B26" s="10">
        <f t="shared" ref="B26:B31" si="21">B15*$C$2</f>
        <v>0.02535195544</v>
      </c>
      <c r="C26" s="10">
        <f t="shared" ref="C26:C31" si="22">$C$5*B15</f>
        <v>0.03113220129</v>
      </c>
      <c r="D26" s="10">
        <f>$C$6*B15</f>
        <v>0.01911517159</v>
      </c>
      <c r="E26" s="10">
        <f>$C$7*B15</f>
        <v>0.007824476904</v>
      </c>
      <c r="F26" s="10">
        <f>$C$8*B15</f>
        <v>0.00240211441</v>
      </c>
      <c r="G26" s="10">
        <f>$C$9*B15</f>
        <v>0.000589959299</v>
      </c>
      <c r="H26" s="10">
        <f>$C$10*B15</f>
        <v>0.0001207450032</v>
      </c>
    </row>
    <row r="27">
      <c r="A27" s="2">
        <v>2.0</v>
      </c>
      <c r="B27" s="10">
        <f t="shared" si="21"/>
        <v>0.03090148364</v>
      </c>
      <c r="C27" s="10">
        <f t="shared" si="22"/>
        <v>0.03794702191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0.01883290015</v>
      </c>
      <c r="C28" s="10">
        <f t="shared" si="22"/>
        <v>0.02312680138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0.007651803652</v>
      </c>
      <c r="C29" s="10">
        <f t="shared" si="22"/>
        <v>0.009396414885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0.002331694747</v>
      </c>
      <c r="C30" s="10">
        <f t="shared" si="22"/>
        <v>0.002863321149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0.0005684202722</v>
      </c>
      <c r="C31" s="10">
        <f t="shared" si="22"/>
        <v>0.0006980200943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sundeland</v>
      </c>
      <c r="J33" s="2" t="s">
        <v>17</v>
      </c>
      <c r="K33" s="7" t="str">
        <f>B13</f>
        <v>nottingham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0.000003063612873</v>
      </c>
      <c r="C36" s="10">
        <f t="shared" ref="C36:C41" si="24">$C$5*B25</f>
        <v>0.000003762116608</v>
      </c>
      <c r="D36" s="10">
        <f>$C$6*B25</f>
        <v>0.000002309939597</v>
      </c>
      <c r="E36" s="10">
        <f>$C$7*B25</f>
        <v>0.0000009455352751</v>
      </c>
      <c r="F36" s="10">
        <f>$C$8*B25</f>
        <v>0.0000002902793295</v>
      </c>
      <c r="G36" s="10">
        <f>$C$9*B25</f>
        <v>0.00000007129260332</v>
      </c>
      <c r="H36" s="10">
        <f>$C$10*B25</f>
        <v>0.00000001459121948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0.007425023613</v>
      </c>
      <c r="C37" s="10">
        <f t="shared" si="24"/>
        <v>0.009117928997</v>
      </c>
      <c r="D37" s="7">
        <f t="shared" ref="D37:H37" si="25">D27*D17</f>
        <v>0.008080650348</v>
      </c>
      <c r="E37" s="7">
        <f t="shared" si="25"/>
        <v>0.001984607726</v>
      </c>
      <c r="F37" s="7">
        <f t="shared" si="25"/>
        <v>0.0004061830478</v>
      </c>
      <c r="G37" s="7">
        <f t="shared" si="25"/>
        <v>0.00007125611182</v>
      </c>
      <c r="H37" s="7">
        <f t="shared" si="25"/>
        <v>0.00001093781316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0.008080650348</v>
      </c>
      <c r="N37" s="7">
        <f>E27*D18</f>
        <v>0.001969899995</v>
      </c>
      <c r="O37" s="7">
        <f>F27*D19</f>
        <v>0.0004001849916</v>
      </c>
      <c r="P37" s="7">
        <f>G27*D20</f>
        <v>0.0000696836074</v>
      </c>
      <c r="Q37" s="7">
        <f>H27*D21</f>
        <v>0.00001061716353</v>
      </c>
    </row>
    <row r="38">
      <c r="A38" s="2">
        <v>3.0</v>
      </c>
      <c r="B38" s="10">
        <f t="shared" si="23"/>
        <v>0.009050356932</v>
      </c>
      <c r="C38" s="10">
        <f t="shared" si="24"/>
        <v>0.01111383831</v>
      </c>
      <c r="D38" s="10"/>
      <c r="E38" s="7">
        <f t="shared" ref="E38:H38" si="28">E28*E18</f>
        <v>0.002419037194</v>
      </c>
      <c r="F38" s="7">
        <f t="shared" si="28"/>
        <v>0.000495096279</v>
      </c>
      <c r="G38" s="7">
        <f t="shared" si="28"/>
        <v>0.00008685403295</v>
      </c>
      <c r="H38" s="7">
        <f t="shared" si="28"/>
        <v>0.00001333209406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0.002419037194</v>
      </c>
      <c r="O38" s="7">
        <f>F28*E19</f>
        <v>0.0004914271697</v>
      </c>
      <c r="P38" s="7">
        <f>G28*E20</f>
        <v>0.00008557146989</v>
      </c>
      <c r="Q38" s="7">
        <f>H28*E21</f>
        <v>0.00001303787681</v>
      </c>
    </row>
    <row r="39">
      <c r="A39" s="2">
        <v>4.0</v>
      </c>
      <c r="B39" s="10">
        <f t="shared" si="23"/>
        <v>0.00551573738</v>
      </c>
      <c r="C39" s="10">
        <f t="shared" si="24"/>
        <v>0.006773325503</v>
      </c>
      <c r="D39" s="10"/>
      <c r="E39" s="10"/>
      <c r="F39" s="7">
        <f t="shared" ref="F39:H39" si="29">F29*F19</f>
        <v>0.0003017362822</v>
      </c>
      <c r="G39" s="7">
        <f t="shared" si="29"/>
        <v>0.00005293316493</v>
      </c>
      <c r="H39" s="7">
        <f t="shared" si="29"/>
        <v>0.000008125240817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0.0003017362822</v>
      </c>
      <c r="P39" s="7">
        <f>G29*F20</f>
        <v>0.00005254088251</v>
      </c>
      <c r="Q39" s="7">
        <f>H29*F21</f>
        <v>0.000008005256363</v>
      </c>
    </row>
    <row r="40">
      <c r="A40" s="2">
        <v>5.0</v>
      </c>
      <c r="B40" s="10">
        <f t="shared" si="23"/>
        <v>0.00224104302</v>
      </c>
      <c r="C40" s="10">
        <f t="shared" si="24"/>
        <v>0.002752000829</v>
      </c>
      <c r="D40" s="10"/>
      <c r="E40" s="10"/>
      <c r="F40" s="10"/>
      <c r="G40" s="7">
        <f t="shared" ref="G40:H40" si="30">G30*G20</f>
        <v>0.00002150673457</v>
      </c>
      <c r="H40" s="7">
        <f t="shared" si="30"/>
        <v>0.000003301283757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0.00002150673457</v>
      </c>
      <c r="Q40" s="7">
        <f>H30*G21</f>
        <v>0.000003276818271</v>
      </c>
    </row>
    <row r="41">
      <c r="A41" s="2">
        <v>6.0</v>
      </c>
      <c r="B41" s="10">
        <f t="shared" si="23"/>
        <v>0.0006829015061</v>
      </c>
      <c r="C41" s="10">
        <f t="shared" si="24"/>
        <v>0.0008386030495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24</v>
      </c>
      <c r="C1" s="1" t="s">
        <v>25</v>
      </c>
      <c r="D1" s="2" t="s">
        <v>2</v>
      </c>
      <c r="G1" s="2" t="str">
        <f t="shared" ref="G1:H1" si="1">B1</f>
        <v>betis</v>
      </c>
      <c r="H1" s="2" t="str">
        <f t="shared" si="1"/>
        <v>real madrid</v>
      </c>
      <c r="J1" s="3" t="str">
        <f>G1</f>
        <v>betis</v>
      </c>
      <c r="K1" s="3" t="s">
        <v>3</v>
      </c>
      <c r="L1" s="3" t="s">
        <v>4</v>
      </c>
      <c r="M1" s="3" t="s">
        <v>5</v>
      </c>
      <c r="N1" s="3" t="str">
        <f>H1</f>
        <v>real madrid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0.2651118369957372</v>
      </c>
      <c r="C2" s="1">
        <v>0.13318714960057065</v>
      </c>
      <c r="D2" s="2" t="s">
        <v>7</v>
      </c>
      <c r="E2" s="1">
        <v>2.5</v>
      </c>
      <c r="F2" s="2" t="s">
        <v>8</v>
      </c>
      <c r="G2" s="1">
        <v>4.09</v>
      </c>
      <c r="H2" s="1">
        <v>1.917</v>
      </c>
      <c r="J2" s="3"/>
      <c r="K2" s="4"/>
      <c r="L2" s="5">
        <v>3.0</v>
      </c>
      <c r="M2" s="6">
        <f t="shared" ref="M2:M11" si="3">IFERROR(-ln(1-(1/L2)),0)</f>
        <v>0.4054651081</v>
      </c>
      <c r="N2" s="3"/>
      <c r="O2" s="4"/>
      <c r="P2" s="5">
        <v>2.75</v>
      </c>
      <c r="Q2" s="6">
        <f t="shared" ref="Q2:Q11" si="4">IFERROR(-ln(1-(1/P2)),0)</f>
        <v>0.4519851237</v>
      </c>
    </row>
    <row r="3">
      <c r="A3" s="2" t="s">
        <v>5</v>
      </c>
      <c r="B3" s="7">
        <f t="shared" ref="B3:C3" si="2">-ln(B2)</f>
        <v>1.327603516</v>
      </c>
      <c r="C3" s="7">
        <f t="shared" si="2"/>
        <v>2.016</v>
      </c>
      <c r="D3" s="2" t="s">
        <v>9</v>
      </c>
      <c r="E3" s="1">
        <v>1.54</v>
      </c>
      <c r="F3" s="2" t="s">
        <v>10</v>
      </c>
      <c r="G3" s="8">
        <f>1/(1/G2+SUM(D37:H40))</f>
        <v>3.685104283</v>
      </c>
      <c r="H3" s="8">
        <f>1/(1/H2+SUM(M37:Q40))</f>
        <v>1.836105792</v>
      </c>
      <c r="J3" s="3"/>
      <c r="K3" s="4"/>
      <c r="L3" s="5">
        <v>3.5</v>
      </c>
      <c r="M3" s="6">
        <f t="shared" si="3"/>
        <v>0.3364722366</v>
      </c>
      <c r="N3" s="3"/>
      <c r="O3" s="4"/>
      <c r="P3" s="5">
        <v>3.25</v>
      </c>
      <c r="Q3" s="6">
        <f t="shared" si="4"/>
        <v>0.3677247801</v>
      </c>
    </row>
    <row r="4">
      <c r="A4" s="2" t="s">
        <v>11</v>
      </c>
      <c r="J4" s="3"/>
      <c r="K4" s="4"/>
      <c r="L4" s="5">
        <v>4.5</v>
      </c>
      <c r="M4" s="6">
        <f t="shared" si="3"/>
        <v>0.2513144283</v>
      </c>
      <c r="N4" s="3"/>
      <c r="O4" s="4"/>
      <c r="P4" s="5">
        <v>4.5</v>
      </c>
      <c r="Q4" s="6">
        <f t="shared" si="4"/>
        <v>0.2513144283</v>
      </c>
    </row>
    <row r="5">
      <c r="A5" s="2">
        <v>1.0</v>
      </c>
      <c r="B5" s="7">
        <f t="shared" ref="B5:C5" si="5">((B$3^$A5)/FACT($A5))*EXP(-B$3)</f>
        <v>0.3519634068</v>
      </c>
      <c r="C5" s="7">
        <f t="shared" si="5"/>
        <v>0.2685052936</v>
      </c>
      <c r="D5" s="2">
        <v>1.5</v>
      </c>
      <c r="E5" s="7">
        <f>1/(B2*(C2+C5)+B5*C2)</f>
        <v>6.520161913</v>
      </c>
      <c r="J5" s="3"/>
      <c r="K5" s="4"/>
      <c r="L5" s="5">
        <v>5.0</v>
      </c>
      <c r="M5" s="6">
        <f t="shared" si="3"/>
        <v>0.2231435513</v>
      </c>
      <c r="N5" s="3"/>
      <c r="O5" s="4"/>
      <c r="P5" s="5">
        <v>6.0</v>
      </c>
      <c r="Q5" s="6">
        <f t="shared" si="4"/>
        <v>0.1823215568</v>
      </c>
    </row>
    <row r="6">
      <c r="A6" s="2">
        <v>2.0</v>
      </c>
      <c r="B6" s="7">
        <f t="shared" ref="B6:C6" si="6">((B$3^$A6)/FACT($A6))*EXP(-B$3)</f>
        <v>0.2336339281</v>
      </c>
      <c r="C6" s="7">
        <f t="shared" si="6"/>
        <v>0.2706533359</v>
      </c>
      <c r="D6" s="2">
        <v>2.5</v>
      </c>
      <c r="E6" s="7">
        <f>1/(B2*(C2+C5+C6)+B5*(C2+C5)+B6*C2)</f>
        <v>2.851074936</v>
      </c>
      <c r="F6" s="2" t="s">
        <v>12</v>
      </c>
      <c r="J6" s="3"/>
      <c r="K6" s="4"/>
      <c r="L6" s="5">
        <v>10.0</v>
      </c>
      <c r="M6" s="6">
        <f t="shared" si="3"/>
        <v>0.1053605157</v>
      </c>
      <c r="N6" s="3"/>
      <c r="O6" s="4"/>
      <c r="P6" s="5">
        <v>6.0</v>
      </c>
      <c r="Q6" s="6">
        <f t="shared" si="4"/>
        <v>0.1823215568</v>
      </c>
    </row>
    <row r="7">
      <c r="A7" s="2">
        <v>3.0</v>
      </c>
      <c r="B7" s="7">
        <f t="shared" ref="B7:C7" si="7">((B$3^$A7)/FACT($A7))*EXP(-B$3)</f>
        <v>0.1033910748</v>
      </c>
      <c r="C7" s="7">
        <f t="shared" si="7"/>
        <v>0.1818790418</v>
      </c>
      <c r="D7" s="2">
        <v>3.5</v>
      </c>
      <c r="E7" s="7">
        <f>1/(B2*(C2+C5+C6+C7)+B5*(C2+C5+C6)+B6*(C2+C5)+B7*C2)</f>
        <v>1.752155599</v>
      </c>
      <c r="F7" s="7" t="str">
        <f>B1</f>
        <v>betis</v>
      </c>
      <c r="G7" s="2" t="s">
        <v>13</v>
      </c>
      <c r="H7" s="7" t="str">
        <f>C1</f>
        <v>real madrid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8.0</v>
      </c>
      <c r="Q7" s="6">
        <f t="shared" si="4"/>
        <v>0.1335313926</v>
      </c>
    </row>
    <row r="8">
      <c r="A8" s="2">
        <v>4.0</v>
      </c>
      <c r="B8" s="7">
        <f t="shared" ref="B8:C8" si="8">((B$3^$A8)/FACT($A8))*EXP(-B$3)</f>
        <v>0.03431558859</v>
      </c>
      <c r="C8" s="7">
        <f t="shared" si="8"/>
        <v>0.09166703704</v>
      </c>
      <c r="D8" s="2">
        <v>4.5</v>
      </c>
      <c r="E8" s="7">
        <f>1/(B2*(C2+C5+C6+C7+C8)+B5*(C2+C5+C6+C7)+B6*(C2+C5+C6)+B7*(C2+C5)+B8*C2)</f>
        <v>1.325192059</v>
      </c>
      <c r="F8" s="7">
        <f>B5*C2+B6*(C5+C2)+B7*(C6+C5+C2)+B8*(C7+C6+C5+C2)+B9*(C8+C7+C6+C5+C2)+B10*(C9+C8+C7+C6+C5+C2)+B11*(C10+C9+C8+C7+C6+C5+C2)+B12*(C11+C10+C9+C8+C7+C6+C5+C2)</f>
        <v>0.2505977006</v>
      </c>
      <c r="G8" s="7">
        <f>B2*C2+B5*C5+B6*C6+B7*C7+B8*C8+B9*C9+B10*C10+B11*C11+B12*C12</f>
        <v>0.2153608317</v>
      </c>
      <c r="H8" s="7">
        <f>C5*B2+C6*(B5+B2)+C7*(B6+B5+B2)+C8*(B7+B6+B5+B2)+C9*(B8+B7+B6+B5+B2)+C10*(B9+B8+B7+B6+B5+B2)+C11*(B10+B9+B7+B8+B6+B5+B2)</f>
        <v>0.5328779433</v>
      </c>
      <c r="J8" s="3"/>
      <c r="K8" s="4"/>
      <c r="L8" s="5">
        <v>10.0</v>
      </c>
      <c r="M8" s="6">
        <f t="shared" si="3"/>
        <v>0.1053605157</v>
      </c>
      <c r="N8" s="3"/>
      <c r="O8" s="4"/>
      <c r="P8" s="5">
        <v>8.0</v>
      </c>
      <c r="Q8" s="6">
        <f t="shared" si="4"/>
        <v>0.1335313926</v>
      </c>
    </row>
    <row r="9">
      <c r="A9" s="2">
        <v>5.0</v>
      </c>
      <c r="B9" s="7">
        <f t="shared" ref="B9:C9" si="9">((B$3^$A9)/FACT($A9))*EXP(-B$3)</f>
        <v>0.009111499211</v>
      </c>
      <c r="C9" s="7">
        <f t="shared" si="9"/>
        <v>0.03696014934</v>
      </c>
      <c r="F9" s="9">
        <f t="shared" ref="F9:H9" si="10">1/F8</f>
        <v>3.9904596</v>
      </c>
      <c r="G9" s="9">
        <f t="shared" si="10"/>
        <v>4.643369883</v>
      </c>
      <c r="H9" s="9">
        <f t="shared" si="10"/>
        <v>1.876602349</v>
      </c>
      <c r="J9" s="3"/>
      <c r="K9" s="4"/>
      <c r="L9" s="5">
        <v>15.0</v>
      </c>
      <c r="M9" s="6">
        <f t="shared" si="3"/>
        <v>0.06899287149</v>
      </c>
      <c r="N9" s="3"/>
      <c r="O9" s="4"/>
      <c r="P9" s="5">
        <v>15.0</v>
      </c>
      <c r="Q9" s="6">
        <f t="shared" si="4"/>
        <v>0.06899287149</v>
      </c>
    </row>
    <row r="10">
      <c r="A10" s="2">
        <v>6.0</v>
      </c>
      <c r="B10" s="7">
        <f t="shared" ref="B10:C10" si="11">((B$3^$A10)/FACT($A10))*EXP(-B$3)</f>
        <v>0.002016076398</v>
      </c>
      <c r="C10" s="7">
        <f t="shared" si="11"/>
        <v>0.01241861018</v>
      </c>
      <c r="J10" s="3"/>
      <c r="K10" s="4"/>
      <c r="L10" s="5">
        <v>20.0</v>
      </c>
      <c r="M10" s="6">
        <f t="shared" si="3"/>
        <v>0.05129329439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0.0003823643019</v>
      </c>
      <c r="C11" s="7">
        <f t="shared" si="12"/>
        <v>0.003576559731</v>
      </c>
      <c r="J11" s="3"/>
      <c r="K11" s="4"/>
      <c r="L11" s="5">
        <v>20.0</v>
      </c>
      <c r="M11" s="6">
        <f t="shared" si="3"/>
        <v>0.05129329439</v>
      </c>
      <c r="N11" s="3"/>
      <c r="O11" s="4"/>
      <c r="P11" s="5">
        <v>20.0</v>
      </c>
      <c r="Q11" s="6">
        <f t="shared" si="4"/>
        <v>0.05129329439</v>
      </c>
    </row>
    <row r="12">
      <c r="A12" s="2">
        <v>8.0</v>
      </c>
      <c r="B12" s="7">
        <f t="shared" ref="B12:C12" si="13">((B$3^$A12)/FACT($A12))*EXP(-B$3)</f>
        <v>0.00006345352393</v>
      </c>
      <c r="C12" s="7">
        <f t="shared" si="13"/>
        <v>0.0009012930522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real madrid</v>
      </c>
      <c r="J13" s="3"/>
      <c r="K13" s="3"/>
      <c r="L13" s="3" t="s">
        <v>14</v>
      </c>
      <c r="M13" s="6">
        <f>SUM(M2:M11)</f>
        <v>1.704056332</v>
      </c>
      <c r="N13" s="3"/>
      <c r="O13" s="3"/>
      <c r="P13" s="3" t="s">
        <v>14</v>
      </c>
      <c r="Q13" s="6">
        <f>SUM(Q2:Q11)</f>
        <v>1.892009268</v>
      </c>
    </row>
    <row r="14">
      <c r="A14" s="7" t="str">
        <f>B1</f>
        <v>betis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1.532476871</v>
      </c>
      <c r="N14" s="3"/>
      <c r="O14" s="3"/>
      <c r="P14" s="3" t="s">
        <v>15</v>
      </c>
      <c r="Q14" s="6">
        <f>SUM(Q2:Q8)</f>
        <v>1.702730231</v>
      </c>
    </row>
    <row r="15">
      <c r="A15" s="2">
        <v>0.0</v>
      </c>
      <c r="B15" s="7">
        <f>B2*$C$2</f>
        <v>0.03530948989</v>
      </c>
      <c r="C15" s="7">
        <f>C5*B2</f>
        <v>0.07118393163</v>
      </c>
      <c r="D15" s="7">
        <f>C6*B2</f>
        <v>0.07175340308</v>
      </c>
      <c r="E15" s="7">
        <f>C7*B2</f>
        <v>0.04821828687</v>
      </c>
      <c r="F15" s="7">
        <f>C8*B2</f>
        <v>0.02430201658</v>
      </c>
      <c r="G15" s="7">
        <f>C9*B2</f>
        <v>0.009798573086</v>
      </c>
      <c r="H15" s="7">
        <f>$C$10*B2</f>
        <v>0.003292320557</v>
      </c>
    </row>
    <row r="16">
      <c r="A16" s="2">
        <v>1.0</v>
      </c>
      <c r="B16" s="7">
        <f t="shared" ref="B16:B21" si="14">B5*$C$2</f>
        <v>0.04687700292</v>
      </c>
      <c r="C16" s="7">
        <f t="shared" ref="C16:C21" si="15">$C$5*B5</f>
        <v>0.09450403789</v>
      </c>
      <c r="D16" s="7">
        <f t="shared" ref="D16:D21" si="16">$C$6*B5</f>
        <v>0.09526007019</v>
      </c>
      <c r="E16" s="7">
        <f t="shared" ref="E16:E21" si="17">$C$7*B5</f>
        <v>0.06401476717</v>
      </c>
      <c r="F16" s="7">
        <f t="shared" ref="F16:F21" si="18">$C$8*B5</f>
        <v>0.03226344265</v>
      </c>
      <c r="G16" s="7">
        <f t="shared" ref="G16:G21" si="19">$C$9*B5</f>
        <v>0.01300862008</v>
      </c>
      <c r="H16" s="7">
        <f t="shared" ref="H16:H21" si="20">$C$10*B5</f>
        <v>0.004370896346</v>
      </c>
    </row>
    <row r="17">
      <c r="A17" s="2">
        <v>2.0</v>
      </c>
      <c r="B17" s="7">
        <f t="shared" si="14"/>
        <v>0.03111703694</v>
      </c>
      <c r="C17" s="7">
        <f t="shared" si="15"/>
        <v>0.06273194647</v>
      </c>
      <c r="D17" s="7">
        <f t="shared" si="16"/>
        <v>0.06323380204</v>
      </c>
      <c r="E17" s="7">
        <f t="shared" si="17"/>
        <v>0.04249311497</v>
      </c>
      <c r="F17" s="7">
        <f t="shared" si="18"/>
        <v>0.02141652995</v>
      </c>
      <c r="G17" s="7">
        <f t="shared" si="19"/>
        <v>0.008635144874</v>
      </c>
      <c r="H17" s="7">
        <f t="shared" si="20"/>
        <v>0.002901408678</v>
      </c>
    </row>
    <row r="18">
      <c r="A18" s="2">
        <v>3.0</v>
      </c>
      <c r="B18" s="7">
        <f t="shared" si="14"/>
        <v>0.01377036255</v>
      </c>
      <c r="C18" s="7">
        <f t="shared" si="15"/>
        <v>0.02776105089</v>
      </c>
      <c r="D18" s="7">
        <f t="shared" si="16"/>
        <v>0.0279831393</v>
      </c>
      <c r="E18" s="7">
        <f t="shared" si="17"/>
        <v>0.01880466961</v>
      </c>
      <c r="F18" s="7">
        <f t="shared" si="18"/>
        <v>0.009477553483</v>
      </c>
      <c r="G18" s="7">
        <f t="shared" si="19"/>
        <v>0.003821349564</v>
      </c>
      <c r="H18" s="7">
        <f t="shared" si="20"/>
        <v>0.001283973454</v>
      </c>
    </row>
    <row r="19">
      <c r="A19" s="2">
        <v>4.0</v>
      </c>
      <c r="B19" s="7">
        <f t="shared" si="14"/>
        <v>0.004570395432</v>
      </c>
      <c r="C19" s="7">
        <f t="shared" si="15"/>
        <v>0.00921391719</v>
      </c>
      <c r="D19" s="7">
        <f t="shared" si="16"/>
        <v>0.009287628528</v>
      </c>
      <c r="E19" s="7">
        <f t="shared" si="17"/>
        <v>0.006241286371</v>
      </c>
      <c r="F19" s="7">
        <f t="shared" si="18"/>
        <v>0.003145608331</v>
      </c>
      <c r="G19" s="7">
        <f t="shared" si="19"/>
        <v>0.001268309279</v>
      </c>
      <c r="H19" s="7">
        <f t="shared" si="20"/>
        <v>0.0004261519177</v>
      </c>
    </row>
    <row r="20">
      <c r="A20" s="2">
        <v>5.0</v>
      </c>
      <c r="B20" s="7">
        <f t="shared" si="14"/>
        <v>0.001213534609</v>
      </c>
      <c r="C20" s="7">
        <f t="shared" si="15"/>
        <v>0.002446485771</v>
      </c>
      <c r="D20" s="7">
        <f t="shared" si="16"/>
        <v>0.002466057657</v>
      </c>
      <c r="E20" s="7">
        <f t="shared" si="17"/>
        <v>0.001657190746</v>
      </c>
      <c r="F20" s="7">
        <f t="shared" si="18"/>
        <v>0.0008352241357</v>
      </c>
      <c r="G20" s="7">
        <f t="shared" si="19"/>
        <v>0.0003367623715</v>
      </c>
      <c r="H20" s="7">
        <f t="shared" si="20"/>
        <v>0.0001131521568</v>
      </c>
    </row>
    <row r="21">
      <c r="A21" s="2">
        <v>6.0</v>
      </c>
      <c r="B21" s="7">
        <f t="shared" si="14"/>
        <v>0.0002685154688</v>
      </c>
      <c r="C21" s="7">
        <f t="shared" si="15"/>
        <v>0.0005413271851</v>
      </c>
      <c r="D21" s="7">
        <f t="shared" si="16"/>
        <v>0.0005456578025</v>
      </c>
      <c r="E21" s="7">
        <f t="shared" si="17"/>
        <v>0.0003666820433</v>
      </c>
      <c r="F21" s="7">
        <f t="shared" si="18"/>
        <v>0.0001848077498</v>
      </c>
      <c r="G21" s="7">
        <f t="shared" si="19"/>
        <v>0.00007451448473</v>
      </c>
      <c r="H21" s="7">
        <f t="shared" si="20"/>
        <v>0.00002503686687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0.000008451193984</v>
      </c>
      <c r="C25" s="10">
        <f>C15*B12</f>
        <v>0.000004516871309</v>
      </c>
      <c r="D25" s="10">
        <f>C16*B12</f>
        <v>0.000005996614229</v>
      </c>
      <c r="E25" s="10">
        <f>C17*B12</f>
        <v>0.000003980563066</v>
      </c>
      <c r="F25" s="10">
        <f>C18*B12</f>
        <v>0.000001761536507</v>
      </c>
      <c r="G25" s="10">
        <f>C19*B12</f>
        <v>0.0000005846555149</v>
      </c>
      <c r="H25" s="10">
        <f>$C$10*B12</f>
        <v>0.000000788004578</v>
      </c>
    </row>
    <row r="26">
      <c r="A26" s="2">
        <v>1.0</v>
      </c>
      <c r="B26" s="10">
        <f t="shared" ref="B26:B31" si="21">B15*$C$2</f>
        <v>0.004702770313</v>
      </c>
      <c r="C26" s="10">
        <f t="shared" ref="C26:C31" si="22">$C$5*B15</f>
        <v>0.009480784951</v>
      </c>
      <c r="D26" s="10">
        <f>$C$6*B15</f>
        <v>0.009556631231</v>
      </c>
      <c r="E26" s="10">
        <f>$C$7*B15</f>
        <v>0.006422056187</v>
      </c>
      <c r="F26" s="10">
        <f>$C$8*B15</f>
        <v>0.003236716318</v>
      </c>
      <c r="G26" s="10">
        <f>$C$9*B15</f>
        <v>0.001305044019</v>
      </c>
      <c r="H26" s="10">
        <f>$C$10*B15</f>
        <v>0.0004384947906</v>
      </c>
    </row>
    <row r="27">
      <c r="A27" s="2">
        <v>2.0</v>
      </c>
      <c r="B27" s="10">
        <f t="shared" si="21"/>
        <v>0.006243414401</v>
      </c>
      <c r="C27" s="10">
        <f t="shared" si="22"/>
        <v>0.01258672343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0.004144389454</v>
      </c>
      <c r="C28" s="10">
        <f t="shared" si="22"/>
        <v>0.008355089139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0.001834035336</v>
      </c>
      <c r="C29" s="10">
        <f t="shared" si="22"/>
        <v>0.003697415238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0.0006087179401</v>
      </c>
      <c r="C30" s="10">
        <f t="shared" si="22"/>
        <v>0.001227175367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0.0001616272155</v>
      </c>
      <c r="C31" s="10">
        <f t="shared" si="22"/>
        <v>0.0003258404664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betis</v>
      </c>
      <c r="J33" s="2" t="s">
        <v>17</v>
      </c>
      <c r="K33" s="7" t="str">
        <f>B13</f>
        <v>real madrid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0.000001125590438</v>
      </c>
      <c r="C36" s="10">
        <f t="shared" ref="C36:C41" si="24">$C$5*B25</f>
        <v>0.000002269190322</v>
      </c>
      <c r="D36" s="10">
        <f>$C$6*B25</f>
        <v>0.000002287343845</v>
      </c>
      <c r="E36" s="10">
        <f>$C$7*B25</f>
        <v>0.000001537095064</v>
      </c>
      <c r="F36" s="10">
        <f>$C$8*B25</f>
        <v>0.000000774695912</v>
      </c>
      <c r="G36" s="10">
        <f>$C$9*B25</f>
        <v>0.0000003123573917</v>
      </c>
      <c r="H36" s="10">
        <f>$C$10*B25</f>
        <v>0.0000001049520836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0.0006263485732</v>
      </c>
      <c r="C37" s="10">
        <f t="shared" si="24"/>
        <v>0.001262718724</v>
      </c>
      <c r="D37" s="7">
        <f t="shared" ref="D37:H37" si="25">D27*D17</f>
        <v>0.01053896701</v>
      </c>
      <c r="E37" s="7">
        <f t="shared" si="25"/>
        <v>0.004249311497</v>
      </c>
      <c r="F37" s="7">
        <f t="shared" si="25"/>
        <v>0.001427768663</v>
      </c>
      <c r="G37" s="7">
        <f t="shared" si="25"/>
        <v>0.000411197375</v>
      </c>
      <c r="H37" s="7">
        <f t="shared" si="25"/>
        <v>0.0001036217385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0.01053896701</v>
      </c>
      <c r="N37" s="7">
        <f>E27*D18</f>
        <v>0.00279831393</v>
      </c>
      <c r="O37" s="7">
        <f>F27*D19</f>
        <v>0.0006191752352</v>
      </c>
      <c r="P37" s="7">
        <f>G27*D20</f>
        <v>0.000117431317</v>
      </c>
      <c r="Q37" s="7">
        <f>H27*D21</f>
        <v>0.00001948777866</v>
      </c>
    </row>
    <row r="38">
      <c r="A38" s="2">
        <v>3.0</v>
      </c>
      <c r="B38" s="10">
        <f t="shared" si="23"/>
        <v>0.0008315425678</v>
      </c>
      <c r="C38" s="10">
        <f t="shared" si="24"/>
        <v>0.001676389817</v>
      </c>
      <c r="D38" s="10"/>
      <c r="E38" s="7">
        <f t="shared" ref="E38:H38" si="28">E28*E18</f>
        <v>0.005641400883</v>
      </c>
      <c r="F38" s="7">
        <f t="shared" si="28"/>
        <v>0.001895510697</v>
      </c>
      <c r="G38" s="7">
        <f t="shared" si="28"/>
        <v>0.0005459070806</v>
      </c>
      <c r="H38" s="7">
        <f t="shared" si="28"/>
        <v>0.0001375685843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0.005641400883</v>
      </c>
      <c r="O38" s="7">
        <f>F28*E19</f>
        <v>0.001248257274</v>
      </c>
      <c r="P38" s="7">
        <f>G28*E20</f>
        <v>0.0002367415351</v>
      </c>
      <c r="Q38" s="7">
        <f>H28*E21</f>
        <v>0.00003928736178</v>
      </c>
    </row>
    <row r="39">
      <c r="A39" s="2">
        <v>4.0</v>
      </c>
      <c r="B39" s="10">
        <f t="shared" si="23"/>
        <v>0.0005519794182</v>
      </c>
      <c r="C39" s="10">
        <f t="shared" si="24"/>
        <v>0.001112790507</v>
      </c>
      <c r="D39" s="10"/>
      <c r="E39" s="10"/>
      <c r="F39" s="7">
        <f t="shared" ref="F39:H39" si="29">F29*F19</f>
        <v>0.001258243332</v>
      </c>
      <c r="G39" s="7">
        <f t="shared" si="29"/>
        <v>0.0003623740797</v>
      </c>
      <c r="H39" s="7">
        <f t="shared" si="29"/>
        <v>0.00009131826809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0.001258243332</v>
      </c>
      <c r="P39" s="7">
        <f>G29*F20</f>
        <v>0.0002386354674</v>
      </c>
      <c r="Q39" s="7">
        <f>H29*F21</f>
        <v>0.00003960166068</v>
      </c>
    </row>
    <row r="40">
      <c r="A40" s="2">
        <v>5.0</v>
      </c>
      <c r="B40" s="10">
        <f t="shared" si="23"/>
        <v>0.0002442699387</v>
      </c>
      <c r="C40" s="10">
        <f t="shared" si="24"/>
        <v>0.0004924481965</v>
      </c>
      <c r="D40" s="10"/>
      <c r="E40" s="10"/>
      <c r="F40" s="10"/>
      <c r="G40" s="7">
        <f t="shared" ref="G40:H40" si="30">G30*G20</f>
        <v>0.0001603630341</v>
      </c>
      <c r="H40" s="7">
        <f t="shared" si="30"/>
        <v>0.00004041148458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0.0001603630341</v>
      </c>
      <c r="Q40" s="7">
        <f>H30*G21</f>
        <v>0.00002661231597</v>
      </c>
    </row>
    <row r="41">
      <c r="A41" s="2">
        <v>6.0</v>
      </c>
      <c r="B41" s="10">
        <f t="shared" si="23"/>
        <v>0.00008107340735</v>
      </c>
      <c r="C41" s="10">
        <f t="shared" si="24"/>
        <v>0.0001634439892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26</v>
      </c>
      <c r="C1" s="1" t="s">
        <v>27</v>
      </c>
      <c r="D1" s="2" t="s">
        <v>2</v>
      </c>
      <c r="G1" s="2" t="str">
        <f t="shared" ref="G1:H1" si="1">B1</f>
        <v>angers</v>
      </c>
      <c r="H1" s="2" t="str">
        <f t="shared" si="1"/>
        <v>psg</v>
      </c>
      <c r="J1" s="3" t="str">
        <f>G1</f>
        <v>angers</v>
      </c>
      <c r="K1" s="3" t="s">
        <v>3</v>
      </c>
      <c r="L1" s="3" t="s">
        <v>4</v>
      </c>
      <c r="M1" s="3" t="s">
        <v>5</v>
      </c>
      <c r="N1" s="3" t="str">
        <f>H1</f>
        <v>psg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0.5012280500235571</v>
      </c>
      <c r="C2" s="1">
        <v>0.07792565872842665</v>
      </c>
      <c r="D2" s="2" t="s">
        <v>7</v>
      </c>
      <c r="E2" s="1">
        <v>2.5</v>
      </c>
      <c r="F2" s="2" t="s">
        <v>8</v>
      </c>
      <c r="G2" s="1">
        <v>12.78</v>
      </c>
      <c r="H2" s="1">
        <v>1.297</v>
      </c>
      <c r="J2" s="3"/>
      <c r="K2" s="4"/>
      <c r="L2" s="5">
        <v>2.5</v>
      </c>
      <c r="M2" s="6">
        <f t="shared" ref="M2:M11" si="3">IFERROR(-ln(1-(1/L2)),0)</f>
        <v>0.5108256238</v>
      </c>
      <c r="N2" s="3"/>
      <c r="O2" s="4"/>
      <c r="P2" s="5">
        <v>2.65</v>
      </c>
      <c r="Q2" s="6">
        <f t="shared" ref="Q2:Q11" si="4">IFERROR(-ln(1-(1/P2)),0)</f>
        <v>0.4737843521</v>
      </c>
    </row>
    <row r="3">
      <c r="A3" s="2" t="s">
        <v>5</v>
      </c>
      <c r="B3" s="7">
        <f t="shared" ref="B3:C3" si="2">-ln(B2)</f>
        <v>0.6906940918</v>
      </c>
      <c r="C3" s="7">
        <f t="shared" si="2"/>
        <v>2.552</v>
      </c>
      <c r="D3" s="2" t="s">
        <v>9</v>
      </c>
      <c r="E3" s="1">
        <v>1.59</v>
      </c>
      <c r="F3" s="2" t="s">
        <v>10</v>
      </c>
      <c r="G3" s="8">
        <f>1/(1/G2+SUM(D37:H40))</f>
        <v>11.00934942</v>
      </c>
      <c r="H3" s="8">
        <f>1/(1/H2+SUM(M37:Q40))</f>
        <v>1.28340485</v>
      </c>
      <c r="J3" s="3"/>
      <c r="K3" s="4"/>
      <c r="L3" s="5">
        <v>3.0</v>
      </c>
      <c r="M3" s="6">
        <f t="shared" si="3"/>
        <v>0.4054651081</v>
      </c>
      <c r="N3" s="3"/>
      <c r="O3" s="4"/>
      <c r="P3" s="5">
        <v>3.2</v>
      </c>
      <c r="Q3" s="6">
        <f t="shared" si="4"/>
        <v>0.3746934494</v>
      </c>
    </row>
    <row r="4">
      <c r="A4" s="2" t="s">
        <v>11</v>
      </c>
      <c r="J4" s="3"/>
      <c r="K4" s="4"/>
      <c r="L4" s="5">
        <v>3.5</v>
      </c>
      <c r="M4" s="6">
        <f t="shared" si="3"/>
        <v>0.3364722366</v>
      </c>
      <c r="N4" s="3"/>
      <c r="O4" s="4"/>
      <c r="P4" s="5">
        <v>4.0</v>
      </c>
      <c r="Q4" s="6">
        <f t="shared" si="4"/>
        <v>0.2876820725</v>
      </c>
    </row>
    <row r="5">
      <c r="A5" s="2">
        <v>1.0</v>
      </c>
      <c r="B5" s="7">
        <f t="shared" ref="B5:C5" si="5">((B$3^$A5)/FACT($A5))*EXP(-B$3)</f>
        <v>0.3461952528</v>
      </c>
      <c r="C5" s="7">
        <f t="shared" si="5"/>
        <v>0.1988662811</v>
      </c>
      <c r="D5" s="2">
        <v>1.5</v>
      </c>
      <c r="E5" s="7">
        <f>1/(B2*(C2+C5)+B5*C2)</f>
        <v>6.034515836</v>
      </c>
      <c r="J5" s="3"/>
      <c r="K5" s="4"/>
      <c r="L5" s="5">
        <v>7.0</v>
      </c>
      <c r="M5" s="6">
        <f t="shared" si="3"/>
        <v>0.1541506798</v>
      </c>
      <c r="N5" s="3"/>
      <c r="O5" s="4"/>
      <c r="P5" s="5">
        <v>5.0</v>
      </c>
      <c r="Q5" s="6">
        <f t="shared" si="4"/>
        <v>0.2231435513</v>
      </c>
    </row>
    <row r="6">
      <c r="A6" s="2">
        <v>2.0</v>
      </c>
      <c r="B6" s="7">
        <f t="shared" ref="B6:C6" si="6">((B$3^$A6)/FACT($A6))*EXP(-B$3)</f>
        <v>0.1195575079</v>
      </c>
      <c r="C6" s="7">
        <f t="shared" si="6"/>
        <v>0.2537533747</v>
      </c>
      <c r="D6" s="2">
        <v>2.5</v>
      </c>
      <c r="E6" s="7">
        <f>1/(B2*(C2+C5+C6)+B5*(C2+C5)+B6*C2)</f>
        <v>2.694946744</v>
      </c>
      <c r="F6" s="2" t="s">
        <v>12</v>
      </c>
      <c r="J6" s="3"/>
      <c r="K6" s="4"/>
      <c r="L6" s="5">
        <v>8.0</v>
      </c>
      <c r="M6" s="6">
        <f t="shared" si="3"/>
        <v>0.1335313926</v>
      </c>
      <c r="N6" s="3"/>
      <c r="O6" s="4"/>
      <c r="P6" s="5">
        <v>10.0</v>
      </c>
      <c r="Q6" s="6">
        <f t="shared" si="4"/>
        <v>0.1053605157</v>
      </c>
    </row>
    <row r="7">
      <c r="A7" s="2">
        <v>3.0</v>
      </c>
      <c r="B7" s="7">
        <f t="shared" ref="B7:C7" si="7">((B$3^$A7)/FACT($A7))*EXP(-B$3)</f>
        <v>0.0275258881</v>
      </c>
      <c r="C7" s="7">
        <f t="shared" si="7"/>
        <v>0.2158595374</v>
      </c>
      <c r="D7" s="2">
        <v>3.5</v>
      </c>
      <c r="E7" s="7">
        <f>1/(B2*(C2+C5+C6+C7)+B5*(C2+C5+C6)+B6*(C2+C5)+B7*C2)</f>
        <v>1.686258617</v>
      </c>
      <c r="F7" s="7" t="str">
        <f>B1</f>
        <v>angers</v>
      </c>
      <c r="G7" s="2" t="s">
        <v>13</v>
      </c>
      <c r="H7" s="7" t="str">
        <f>C1</f>
        <v>psg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10.0</v>
      </c>
      <c r="Q7" s="6">
        <f t="shared" si="4"/>
        <v>0.1053605157</v>
      </c>
    </row>
    <row r="8">
      <c r="A8" s="2">
        <v>4.0</v>
      </c>
      <c r="B8" s="7">
        <f t="shared" ref="B8:C8" si="8">((B$3^$A8)/FACT($A8))*EXP(-B$3)</f>
        <v>0.004752992071</v>
      </c>
      <c r="C8" s="7">
        <f t="shared" si="8"/>
        <v>0.1377183848</v>
      </c>
      <c r="D8" s="2">
        <v>4.5</v>
      </c>
      <c r="E8" s="7">
        <f>1/(B2*(C2+C5+C6+C7+C8)+B5*(C2+C5+C6+C7)+B6*(C2+C5+C6)+B7*(C2+C5)+B8*C2)</f>
        <v>1.293712639</v>
      </c>
      <c r="F8" s="7">
        <f>B5*C2+B6*(C5+C2)+B7*(C6+C5+C2)+B8*(C7+C6+C5+C2)+B9*(C8+C7+C6+C5+C2)+B10*(C9+C8+C7+C6+C5+C2)+B11*(C10+C9+C8+C7+C6+C5+C2)+B12*(C11+C10+C9+C8+C7+C6+C5+C2)</f>
        <v>0.07888204402</v>
      </c>
      <c r="G8" s="7">
        <f>B2*C2+B5*C5+B6*C6+B7*C7+B8*C8+B9*C9+B10*C10+B11*C11+B12*C12</f>
        <v>0.144888004</v>
      </c>
      <c r="H8" s="7">
        <f>C5*B2+C6*(B5+B2)+C7*(B6+B5+B2)+C8*(B7+B6+B5+B2)+C9*(B8+B7+B6+B5+B2)+C10*(B9+B8+B7+B6+B5+B2)+C11*(B10+B9+B7+B8+B6+B5+B2)</f>
        <v>0.7714416065</v>
      </c>
      <c r="J8" s="3"/>
      <c r="K8" s="4"/>
      <c r="L8" s="5">
        <v>10.0</v>
      </c>
      <c r="M8" s="6">
        <f t="shared" si="3"/>
        <v>0.1053605157</v>
      </c>
      <c r="N8" s="3"/>
      <c r="O8" s="4"/>
      <c r="P8" s="5">
        <v>10.0</v>
      </c>
      <c r="Q8" s="6">
        <f t="shared" si="4"/>
        <v>0.1053605157</v>
      </c>
    </row>
    <row r="9">
      <c r="A9" s="2">
        <v>5.0</v>
      </c>
      <c r="B9" s="7">
        <f t="shared" ref="B9:C9" si="9">((B$3^$A9)/FACT($A9))*EXP(-B$3)</f>
        <v>0.0006565727083</v>
      </c>
      <c r="C9" s="7">
        <f t="shared" si="9"/>
        <v>0.07029146362</v>
      </c>
      <c r="F9" s="9">
        <f t="shared" ref="F9:H9" si="10">1/F8</f>
        <v>12.67715628</v>
      </c>
      <c r="G9" s="9">
        <f t="shared" si="10"/>
        <v>6.901882641</v>
      </c>
      <c r="H9" s="9">
        <f t="shared" si="10"/>
        <v>1.296274393</v>
      </c>
      <c r="J9" s="3"/>
      <c r="K9" s="4"/>
      <c r="L9" s="5">
        <v>10.0</v>
      </c>
      <c r="M9" s="6">
        <f t="shared" si="3"/>
        <v>0.1053605157</v>
      </c>
      <c r="N9" s="3"/>
      <c r="O9" s="4"/>
      <c r="P9" s="5">
        <v>10.0</v>
      </c>
      <c r="Q9" s="6">
        <f t="shared" si="4"/>
        <v>0.1053605157</v>
      </c>
    </row>
    <row r="10">
      <c r="A10" s="2">
        <v>6.0</v>
      </c>
      <c r="B10" s="7">
        <f t="shared" ref="B10:C10" si="11">((B$3^$A10)/FACT($A10))*EXP(-B$3)</f>
        <v>0.00007558181508</v>
      </c>
      <c r="C10" s="7">
        <f t="shared" si="11"/>
        <v>0.02989730253</v>
      </c>
      <c r="J10" s="3"/>
      <c r="K10" s="4"/>
      <c r="L10" s="5">
        <v>15.0</v>
      </c>
      <c r="M10" s="6">
        <f t="shared" si="3"/>
        <v>0.06899287149</v>
      </c>
      <c r="N10" s="3"/>
      <c r="O10" s="4"/>
      <c r="P10" s="5">
        <v>10.0</v>
      </c>
      <c r="Q10" s="6">
        <f t="shared" si="4"/>
        <v>0.1053605157</v>
      </c>
    </row>
    <row r="11">
      <c r="A11" s="2">
        <v>7.0</v>
      </c>
      <c r="B11" s="7">
        <f t="shared" ref="B11:C11" si="12">((B$3^$A11)/FACT($A11))*EXP(-B$3)</f>
        <v>0.000007457701875</v>
      </c>
      <c r="C11" s="7">
        <f t="shared" si="12"/>
        <v>0.01089970229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15.0</v>
      </c>
      <c r="Q11" s="6">
        <f t="shared" si="4"/>
        <v>0.06899287149</v>
      </c>
    </row>
    <row r="12">
      <c r="A12" s="2">
        <v>8.0</v>
      </c>
      <c r="B12" s="7">
        <f t="shared" ref="B12:C12" si="13">((B$3^$A12)/FACT($A12))*EXP(-B$3)</f>
        <v>0.0000006438738279</v>
      </c>
      <c r="C12" s="7">
        <f t="shared" si="13"/>
        <v>0.003477005031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psg</v>
      </c>
      <c r="J13" s="3"/>
      <c r="K13" s="3"/>
      <c r="L13" s="3" t="s">
        <v>14</v>
      </c>
      <c r="M13" s="6">
        <f>SUM(M2:M11)</f>
        <v>1.994512331</v>
      </c>
      <c r="N13" s="3"/>
      <c r="O13" s="3"/>
      <c r="P13" s="3" t="s">
        <v>14</v>
      </c>
      <c r="Q13" s="6">
        <f>SUM(Q2:Q11)</f>
        <v>1.955098875</v>
      </c>
    </row>
    <row r="14">
      <c r="A14" s="7" t="str">
        <f>B1</f>
        <v>angers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1.751166072</v>
      </c>
      <c r="N14" s="3"/>
      <c r="O14" s="3"/>
      <c r="P14" s="3" t="s">
        <v>15</v>
      </c>
      <c r="Q14" s="6">
        <f>SUM(Q2:Q8)</f>
        <v>1.675384972</v>
      </c>
    </row>
    <row r="15">
      <c r="A15" s="2">
        <v>0.0</v>
      </c>
      <c r="B15" s="7">
        <f>B2*$C$2</f>
        <v>0.03905852597</v>
      </c>
      <c r="C15" s="7">
        <f>C5*B2</f>
        <v>0.09967735828</v>
      </c>
      <c r="D15" s="7">
        <f>C6*B2</f>
        <v>0.1271883092</v>
      </c>
      <c r="E15" s="7">
        <f>C7*B2</f>
        <v>0.108194855</v>
      </c>
      <c r="F15" s="7">
        <f>C8*B2</f>
        <v>0.06902831749</v>
      </c>
      <c r="G15" s="7">
        <f>C9*B2</f>
        <v>0.03523205325</v>
      </c>
      <c r="H15" s="7">
        <f>$C$10*B2</f>
        <v>0.01498536665</v>
      </c>
    </row>
    <row r="16">
      <c r="A16" s="2">
        <v>1.0</v>
      </c>
      <c r="B16" s="7">
        <f t="shared" ref="B16:B21" si="14">B5*$C$2</f>
        <v>0.02697749312</v>
      </c>
      <c r="C16" s="7">
        <f t="shared" ref="C16:C21" si="15">$C$5*B5</f>
        <v>0.06884656245</v>
      </c>
      <c r="D16" s="7">
        <f t="shared" ref="D16:D21" si="16">$C$6*B5</f>
        <v>0.08784821368</v>
      </c>
      <c r="E16" s="7">
        <f t="shared" ref="E16:E21" si="17">$C$7*B5</f>
        <v>0.07472954711</v>
      </c>
      <c r="F16" s="7">
        <f t="shared" ref="F16:F21" si="18">$C$8*B5</f>
        <v>0.04767745105</v>
      </c>
      <c r="G16" s="7">
        <f t="shared" ref="G16:G21" si="19">$C$9*B5</f>
        <v>0.02433457102</v>
      </c>
      <c r="H16" s="7">
        <f t="shared" ref="H16:H21" si="20">$C$10*B5</f>
        <v>0.01035030421</v>
      </c>
    </row>
    <row r="17">
      <c r="A17" s="2">
        <v>2.0</v>
      </c>
      <c r="B17" s="7">
        <f t="shared" si="14"/>
        <v>0.009316597556</v>
      </c>
      <c r="C17" s="7">
        <f t="shared" si="15"/>
        <v>0.02377595696</v>
      </c>
      <c r="D17" s="7">
        <f t="shared" si="16"/>
        <v>0.03033812108</v>
      </c>
      <c r="E17" s="7">
        <f t="shared" si="17"/>
        <v>0.02580762834</v>
      </c>
      <c r="F17" s="7">
        <f t="shared" si="18"/>
        <v>0.01646526688</v>
      </c>
      <c r="G17" s="7">
        <f t="shared" si="19"/>
        <v>0.008403872214</v>
      </c>
      <c r="H17" s="7">
        <f t="shared" si="20"/>
        <v>0.003574446982</v>
      </c>
    </row>
    <row r="18">
      <c r="A18" s="2">
        <v>3.0</v>
      </c>
      <c r="B18" s="7">
        <f t="shared" si="14"/>
        <v>0.002144972962</v>
      </c>
      <c r="C18" s="7">
        <f t="shared" si="15"/>
        <v>0.005473971</v>
      </c>
      <c r="D18" s="7">
        <f t="shared" si="16"/>
        <v>0.006984786996</v>
      </c>
      <c r="E18" s="7">
        <f t="shared" si="17"/>
        <v>0.005941725471</v>
      </c>
      <c r="F18" s="7">
        <f t="shared" si="18"/>
        <v>0.003790820851</v>
      </c>
      <c r="G18" s="7">
        <f t="shared" si="19"/>
        <v>0.001934834962</v>
      </c>
      <c r="H18" s="7">
        <f t="shared" si="20"/>
        <v>0.0008229498039</v>
      </c>
    </row>
    <row r="19">
      <c r="A19" s="2">
        <v>4.0</v>
      </c>
      <c r="B19" s="7">
        <f t="shared" si="14"/>
        <v>0.0003703800381</v>
      </c>
      <c r="C19" s="7">
        <f t="shared" si="15"/>
        <v>0.0009452098571</v>
      </c>
      <c r="D19" s="7">
        <f t="shared" si="16"/>
        <v>0.001206087778</v>
      </c>
      <c r="E19" s="7">
        <f t="shared" si="17"/>
        <v>0.00102597867</v>
      </c>
      <c r="F19" s="7">
        <f t="shared" si="18"/>
        <v>0.0006545743912</v>
      </c>
      <c r="G19" s="7">
        <f t="shared" si="19"/>
        <v>0.0003340947693</v>
      </c>
      <c r="H19" s="7">
        <f t="shared" si="20"/>
        <v>0.0001421016419</v>
      </c>
    </row>
    <row r="20">
      <c r="A20" s="2">
        <v>5.0</v>
      </c>
      <c r="B20" s="7">
        <f t="shared" si="14"/>
        <v>0.0000511638608</v>
      </c>
      <c r="C20" s="7">
        <f t="shared" si="15"/>
        <v>0.0001305701728</v>
      </c>
      <c r="D20" s="7">
        <f t="shared" si="16"/>
        <v>0.0001666075404</v>
      </c>
      <c r="E20" s="7">
        <f t="shared" si="17"/>
        <v>0.0001417274811</v>
      </c>
      <c r="F20" s="7">
        <f t="shared" si="18"/>
        <v>0.00009042213292</v>
      </c>
      <c r="G20" s="7">
        <f t="shared" si="19"/>
        <v>0.00004615145664</v>
      </c>
      <c r="H20" s="7">
        <f t="shared" si="20"/>
        <v>0.00001962975289</v>
      </c>
    </row>
    <row r="21">
      <c r="A21" s="2">
        <v>6.0</v>
      </c>
      <c r="B21" s="7">
        <f t="shared" si="14"/>
        <v>0.000005889762728</v>
      </c>
      <c r="C21" s="7">
        <f t="shared" si="15"/>
        <v>0.00001503067448</v>
      </c>
      <c r="D21" s="7">
        <f t="shared" si="16"/>
        <v>0.00001917914064</v>
      </c>
      <c r="E21" s="7">
        <f t="shared" si="17"/>
        <v>0.00001631505564</v>
      </c>
      <c r="F21" s="7">
        <f t="shared" si="18"/>
        <v>0.0000104090055</v>
      </c>
      <c r="G21" s="7">
        <f t="shared" si="19"/>
        <v>0.000005312756405</v>
      </c>
      <c r="H21" s="7">
        <f t="shared" si="20"/>
        <v>0.000002259692391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0.00000005017429218</v>
      </c>
      <c r="C25" s="10">
        <f>C15*B12</f>
        <v>0.00000006417964223</v>
      </c>
      <c r="D25" s="10">
        <f>C16*B12</f>
        <v>0.0000000443284997</v>
      </c>
      <c r="E25" s="10">
        <f>C17*B12</f>
        <v>0.00000001530871642</v>
      </c>
      <c r="F25" s="10">
        <f>C18*B12</f>
        <v>0.000000003524546662</v>
      </c>
      <c r="G25" s="10">
        <f>C19*B12</f>
        <v>0.0000000006085958889</v>
      </c>
      <c r="H25" s="10">
        <f>$C$10*B12</f>
        <v>0.00000001925009062</v>
      </c>
    </row>
    <row r="26">
      <c r="A26" s="2">
        <v>1.0</v>
      </c>
      <c r="B26" s="10">
        <f t="shared" ref="B26:B31" si="21">B15*$C$2</f>
        <v>0.003043661365</v>
      </c>
      <c r="C26" s="10">
        <f t="shared" ref="C26:C31" si="22">$C$5*B15</f>
        <v>0.007767423804</v>
      </c>
      <c r="D26" s="10">
        <f>$C$6*B15</f>
        <v>0.009911232774</v>
      </c>
      <c r="E26" s="10">
        <f>$C$7*B15</f>
        <v>0.008431155347</v>
      </c>
      <c r="F26" s="10">
        <f>$C$8*B15</f>
        <v>0.005379077111</v>
      </c>
      <c r="G26" s="10">
        <f>$C$9*B15</f>
        <v>0.002745480957</v>
      </c>
      <c r="H26" s="10">
        <f>$C$10*B15</f>
        <v>0.001167744567</v>
      </c>
    </row>
    <row r="27">
      <c r="A27" s="2">
        <v>2.0</v>
      </c>
      <c r="B27" s="10">
        <f t="shared" si="21"/>
        <v>0.002102238922</v>
      </c>
      <c r="C27" s="10">
        <f t="shared" si="22"/>
        <v>0.00536491373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0.0007260020016</v>
      </c>
      <c r="C28" s="10">
        <f t="shared" si="22"/>
        <v>0.001852757108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0.0001671484311</v>
      </c>
      <c r="C29" s="10">
        <f t="shared" si="22"/>
        <v>0.000426562796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0.00002886210845</v>
      </c>
      <c r="C30" s="10">
        <f t="shared" si="22"/>
        <v>0.00007365610075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0.000003986977556</v>
      </c>
      <c r="C31" s="10">
        <f t="shared" si="22"/>
        <v>0.00001017476672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angers</v>
      </c>
      <c r="J33" s="2" t="s">
        <v>17</v>
      </c>
      <c r="K33" s="7" t="str">
        <f>B13</f>
        <v>psg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0.000000003909864769</v>
      </c>
      <c r="C36" s="10">
        <f t="shared" ref="C36:C41" si="24">$C$5*B25</f>
        <v>0.000000009977974891</v>
      </c>
      <c r="D36" s="10">
        <f>$C$6*B25</f>
        <v>0.00000001273189596</v>
      </c>
      <c r="E36" s="10">
        <f>$C$7*B25</f>
        <v>0.0000000108305995</v>
      </c>
      <c r="F36" s="10">
        <f>$C$8*B25</f>
        <v>0.000000006909922479</v>
      </c>
      <c r="G36" s="10">
        <f>$C$9*B25</f>
        <v>0.000000003526824434</v>
      </c>
      <c r="H36" s="10">
        <f>$C$10*B25</f>
        <v>0.000000001500075992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0.0002371793168</v>
      </c>
      <c r="C37" s="10">
        <f t="shared" si="24"/>
        <v>0.0006052816166</v>
      </c>
      <c r="D37" s="7">
        <f t="shared" ref="D37:H37" si="25">D27*D17</f>
        <v>0.005056353514</v>
      </c>
      <c r="E37" s="7">
        <f t="shared" si="25"/>
        <v>0.002580762834</v>
      </c>
      <c r="F37" s="7">
        <f t="shared" si="25"/>
        <v>0.001097684459</v>
      </c>
      <c r="G37" s="7">
        <f t="shared" si="25"/>
        <v>0.0004001843912</v>
      </c>
      <c r="H37" s="7">
        <f t="shared" si="25"/>
        <v>0.0001276588208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0.005056353514</v>
      </c>
      <c r="N37" s="7">
        <f>E27*D18</f>
        <v>0.0006984786996</v>
      </c>
      <c r="O37" s="7">
        <f>F27*D19</f>
        <v>0.00008040585185</v>
      </c>
      <c r="P37" s="7">
        <f>G27*D20</f>
        <v>0.000007933692402</v>
      </c>
      <c r="Q37" s="7">
        <f>H27*D21</f>
        <v>0.0000006849693085</v>
      </c>
    </row>
    <row r="38">
      <c r="A38" s="2">
        <v>3.0</v>
      </c>
      <c r="B38" s="10">
        <f t="shared" si="23"/>
        <v>0.0001638183528</v>
      </c>
      <c r="C38" s="10">
        <f t="shared" si="24"/>
        <v>0.0004180644364</v>
      </c>
      <c r="D38" s="10"/>
      <c r="E38" s="7">
        <f t="shared" ref="E38:H38" si="28">E28*E18</f>
        <v>0.001782517641</v>
      </c>
      <c r="F38" s="7">
        <f t="shared" si="28"/>
        <v>0.0007581641702</v>
      </c>
      <c r="G38" s="7">
        <f t="shared" si="28"/>
        <v>0.0002764049946</v>
      </c>
      <c r="H38" s="7">
        <f t="shared" si="28"/>
        <v>0.00008817319328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0.001782517641</v>
      </c>
      <c r="O38" s="7">
        <f>F28*E19</f>
        <v>0.0002051957339</v>
      </c>
      <c r="P38" s="7">
        <f>G28*E20</f>
        <v>0.00002024678301</v>
      </c>
      <c r="Q38" s="7">
        <f>H28*E21</f>
        <v>0.000001748041675</v>
      </c>
    </row>
    <row r="39">
      <c r="A39" s="2">
        <v>4.0</v>
      </c>
      <c r="B39" s="10">
        <f t="shared" si="23"/>
        <v>0.00005657418422</v>
      </c>
      <c r="C39" s="10">
        <f t="shared" si="24"/>
        <v>0.0001443773181</v>
      </c>
      <c r="D39" s="10"/>
      <c r="E39" s="10"/>
      <c r="F39" s="7">
        <f t="shared" ref="F39:H39" si="29">F29*F19</f>
        <v>0.0002618297565</v>
      </c>
      <c r="G39" s="7">
        <f t="shared" si="29"/>
        <v>0.00009545564836</v>
      </c>
      <c r="H39" s="7">
        <f t="shared" si="29"/>
        <v>0.00003045035183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0.0002618297565</v>
      </c>
      <c r="P39" s="7">
        <f>G29*F20</f>
        <v>0.00002583489512</v>
      </c>
      <c r="Q39" s="7">
        <f>H29*F21</f>
        <v>0.000002230501178</v>
      </c>
    </row>
    <row r="40">
      <c r="A40" s="2">
        <v>5.0</v>
      </c>
      <c r="B40" s="10">
        <f t="shared" si="23"/>
        <v>0.0000130251516</v>
      </c>
      <c r="C40" s="10">
        <f t="shared" si="24"/>
        <v>0.00003324018687</v>
      </c>
      <c r="D40" s="10"/>
      <c r="E40" s="10"/>
      <c r="F40" s="10"/>
      <c r="G40" s="7">
        <f t="shared" ref="G40:H40" si="30">G30*G20</f>
        <v>0.00002197688412</v>
      </c>
      <c r="H40" s="7">
        <f t="shared" si="30"/>
        <v>0.000007010626033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0.00002197688412</v>
      </c>
      <c r="Q40" s="7">
        <f>H30*G21</f>
        <v>0.000001897413002</v>
      </c>
    </row>
    <row r="41">
      <c r="A41" s="2">
        <v>6.0</v>
      </c>
      <c r="B41" s="10">
        <f t="shared" si="23"/>
        <v>0.000002249098813</v>
      </c>
      <c r="C41" s="10">
        <f t="shared" si="24"/>
        <v>0.000005739700171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28</v>
      </c>
      <c r="C1" s="1" t="s">
        <v>29</v>
      </c>
      <c r="D1" s="2" t="s">
        <v>2</v>
      </c>
      <c r="G1" s="2" t="str">
        <f t="shared" ref="G1:H1" si="1">B1</f>
        <v>real amdrid</v>
      </c>
      <c r="H1" s="2" t="str">
        <f t="shared" si="1"/>
        <v>alaves</v>
      </c>
      <c r="J1" s="3" t="str">
        <f>G1</f>
        <v>real amdrid</v>
      </c>
      <c r="K1" s="3" t="s">
        <v>3</v>
      </c>
      <c r="L1" s="3" t="s">
        <v>4</v>
      </c>
      <c r="M1" s="3" t="s">
        <v>5</v>
      </c>
      <c r="N1" s="3" t="str">
        <f>H1</f>
        <v>alaves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0.06136992103910016</v>
      </c>
      <c r="C2" s="1">
        <v>0.4828737725312295</v>
      </c>
      <c r="D2" s="2" t="s">
        <v>7</v>
      </c>
      <c r="E2" s="1">
        <v>2.5</v>
      </c>
      <c r="F2" s="2" t="s">
        <v>8</v>
      </c>
      <c r="G2" s="1">
        <v>1.25</v>
      </c>
      <c r="H2" s="1">
        <v>14.15</v>
      </c>
      <c r="J2" s="3"/>
      <c r="K2" s="4"/>
      <c r="L2" s="5">
        <v>2.5</v>
      </c>
      <c r="M2" s="6">
        <f t="shared" ref="M2:M11" si="3">IFERROR(-ln(1-(1/L2)),0)</f>
        <v>0.5108256238</v>
      </c>
      <c r="N2" s="3"/>
      <c r="O2" s="4"/>
      <c r="P2" s="5">
        <v>3.75</v>
      </c>
      <c r="Q2" s="6">
        <f t="shared" ref="Q2:Q11" si="4">IFERROR(-ln(1-(1/P2)),0)</f>
        <v>0.3101549283</v>
      </c>
    </row>
    <row r="3">
      <c r="A3" s="2" t="s">
        <v>5</v>
      </c>
      <c r="B3" s="7">
        <f t="shared" ref="B3:C3" si="2">-ln(B2)</f>
        <v>2.790835449</v>
      </c>
      <c r="C3" s="7">
        <f t="shared" si="2"/>
        <v>0.728</v>
      </c>
      <c r="D3" s="2" t="s">
        <v>9</v>
      </c>
      <c r="E3" s="1">
        <v>1.465</v>
      </c>
      <c r="F3" s="2" t="s">
        <v>10</v>
      </c>
      <c r="G3" s="8">
        <f>1/(1/G2+SUM(D37:H40))</f>
        <v>1.236525429</v>
      </c>
      <c r="H3" s="8">
        <f>1/(1/H2+SUM(M37:Q40))</f>
        <v>11.79443712</v>
      </c>
      <c r="J3" s="3"/>
      <c r="K3" s="4"/>
      <c r="L3" s="5">
        <v>3.4</v>
      </c>
      <c r="M3" s="6">
        <f t="shared" si="3"/>
        <v>0.3483066943</v>
      </c>
      <c r="N3" s="3"/>
      <c r="O3" s="4"/>
      <c r="P3" s="5">
        <v>4.5</v>
      </c>
      <c r="Q3" s="6">
        <f t="shared" si="4"/>
        <v>0.2513144283</v>
      </c>
    </row>
    <row r="4">
      <c r="A4" s="2" t="s">
        <v>11</v>
      </c>
      <c r="J4" s="3"/>
      <c r="K4" s="4"/>
      <c r="L4" s="5">
        <v>3.6</v>
      </c>
      <c r="M4" s="6">
        <f t="shared" si="3"/>
        <v>0.3254224004</v>
      </c>
      <c r="N4" s="3"/>
      <c r="O4" s="4"/>
      <c r="P4" s="5">
        <v>6.0</v>
      </c>
      <c r="Q4" s="6">
        <f t="shared" si="4"/>
        <v>0.1823215568</v>
      </c>
    </row>
    <row r="5">
      <c r="A5" s="2">
        <v>1.0</v>
      </c>
      <c r="B5" s="7">
        <f t="shared" ref="B5:C5" si="5">((B$3^$A5)/FACT($A5))*EXP(-B$3)</f>
        <v>0.1712733512</v>
      </c>
      <c r="C5" s="7">
        <f t="shared" si="5"/>
        <v>0.3515321064</v>
      </c>
      <c r="D5" s="2">
        <v>1.5</v>
      </c>
      <c r="E5" s="7">
        <f>1/(B2*(C2+C5)+B5*C2)</f>
        <v>7.467655784</v>
      </c>
      <c r="J5" s="3"/>
      <c r="K5" s="4"/>
      <c r="L5" s="5">
        <v>4.0</v>
      </c>
      <c r="M5" s="6">
        <f t="shared" si="3"/>
        <v>0.2876820725</v>
      </c>
      <c r="N5" s="3"/>
      <c r="O5" s="4"/>
      <c r="P5" s="5">
        <v>10.0</v>
      </c>
      <c r="Q5" s="6">
        <f t="shared" si="4"/>
        <v>0.1053605157</v>
      </c>
    </row>
    <row r="6">
      <c r="A6" s="2">
        <v>2.0</v>
      </c>
      <c r="B6" s="7">
        <f t="shared" ref="B6:C6" si="6">((B$3^$A6)/FACT($A6))*EXP(-B$3)</f>
        <v>0.23899787</v>
      </c>
      <c r="C6" s="7">
        <f t="shared" si="6"/>
        <v>0.1279576867</v>
      </c>
      <c r="D6" s="2">
        <v>2.5</v>
      </c>
      <c r="E6" s="7">
        <f>1/(B2*(C2+C5+C6)+B5*(C2+C5)+B6*C2)</f>
        <v>3.150822266</v>
      </c>
      <c r="F6" s="2" t="s">
        <v>12</v>
      </c>
      <c r="J6" s="3"/>
      <c r="K6" s="4"/>
      <c r="L6" s="5">
        <v>7.0</v>
      </c>
      <c r="M6" s="6">
        <f t="shared" si="3"/>
        <v>0.1541506798</v>
      </c>
      <c r="N6" s="3"/>
      <c r="O6" s="4"/>
      <c r="P6" s="5">
        <v>12.0</v>
      </c>
      <c r="Q6" s="6">
        <f t="shared" si="4"/>
        <v>0.08701137699</v>
      </c>
    </row>
    <row r="7">
      <c r="A7" s="2">
        <v>3.0</v>
      </c>
      <c r="B7" s="7">
        <f t="shared" ref="B7:C7" si="7">((B$3^$A7)/FACT($A7))*EXP(-B$3)</f>
        <v>0.2223345759</v>
      </c>
      <c r="C7" s="7">
        <f t="shared" si="7"/>
        <v>0.03105106531</v>
      </c>
      <c r="D7" s="2">
        <v>3.5</v>
      </c>
      <c r="E7" s="7">
        <f>1/(B2*(C2+C5+C6+C7)+B5*(C2+C5+C6)+B6*(C2+C5)+B7*C2)</f>
        <v>1.877674136</v>
      </c>
      <c r="F7" s="7" t="str">
        <f>B1</f>
        <v>real amdrid</v>
      </c>
      <c r="G7" s="2" t="s">
        <v>13</v>
      </c>
      <c r="H7" s="7" t="str">
        <f>C1</f>
        <v>alaves</v>
      </c>
      <c r="J7" s="3"/>
      <c r="K7" s="4"/>
      <c r="L7" s="5">
        <v>8.0</v>
      </c>
      <c r="M7" s="6">
        <f t="shared" si="3"/>
        <v>0.1335313926</v>
      </c>
      <c r="N7" s="3"/>
      <c r="O7" s="4"/>
      <c r="P7" s="5">
        <v>15.0</v>
      </c>
      <c r="Q7" s="6">
        <f t="shared" si="4"/>
        <v>0.06899287149</v>
      </c>
    </row>
    <row r="8">
      <c r="A8" s="2">
        <v>4.0</v>
      </c>
      <c r="B8" s="7">
        <f t="shared" ref="B8:C8" si="8">((B$3^$A8)/FACT($A8))*EXP(-B$3)</f>
        <v>0.155124804</v>
      </c>
      <c r="C8" s="7">
        <f t="shared" si="8"/>
        <v>0.005651293887</v>
      </c>
      <c r="D8" s="2">
        <v>4.5</v>
      </c>
      <c r="E8" s="7">
        <f>1/(B2*(C2+C5+C6+C7+C8)+B5*(C2+C5+C6+C7)+B6*(C2+C5+C6)+B7*(C2+C5)+B8*C2)</f>
        <v>1.385264366</v>
      </c>
      <c r="F8" s="7">
        <f>B5*C2+B6*(C5+C2)+B7*(C6+C5+C2)+B8*(C7+C6+C5+C2)+B9*(C8+C7+C6+C5+C2)+B10*(C9+C8+C7+C6+C5+C2)+B11*(C10+C9+C8+C7+C6+C5+C2)+B12*(C11+C10+C9+C8+C7+C6+C5+C2)</f>
        <v>0.798627505</v>
      </c>
      <c r="G8" s="7">
        <f>B2*C2+B5*C5+B6*C6+B7*C7+B8*C8+B9*C9+B10*C10+B11*C11+B12*C12</f>
        <v>0.128279441</v>
      </c>
      <c r="H8" s="7">
        <f>C5*B2+C6*(B5+B2)+C7*(B6+B5+B2)+C8*(B7+B6+B5+B2)+C9*(B8+B7+B6+B5+B2)+C10*(B9+B8+B7+B6+B5+B2)+C11*(B10+B9+B7+B8+B6+B5+B2)</f>
        <v>0.07071102624</v>
      </c>
      <c r="J8" s="3"/>
      <c r="K8" s="4"/>
      <c r="L8" s="5">
        <v>6.0</v>
      </c>
      <c r="M8" s="6">
        <f t="shared" si="3"/>
        <v>0.1823215568</v>
      </c>
      <c r="N8" s="3"/>
      <c r="O8" s="4"/>
      <c r="P8" s="5">
        <v>12.0</v>
      </c>
      <c r="Q8" s="6">
        <f t="shared" si="4"/>
        <v>0.08701137699</v>
      </c>
    </row>
    <row r="9">
      <c r="A9" s="2">
        <v>5.0</v>
      </c>
      <c r="B9" s="7">
        <f t="shared" ref="B9:C9" si="9">((B$3^$A9)/FACT($A9))*EXP(-B$3)</f>
        <v>0.08658556042</v>
      </c>
      <c r="C9" s="7">
        <f t="shared" si="9"/>
        <v>0.0008228283899</v>
      </c>
      <c r="F9" s="9">
        <f t="shared" ref="F9:H9" si="10">1/F8</f>
        <v>1.252148209</v>
      </c>
      <c r="G9" s="9">
        <f t="shared" si="10"/>
        <v>7.79548143</v>
      </c>
      <c r="H9" s="9">
        <f t="shared" si="10"/>
        <v>14.142066</v>
      </c>
      <c r="J9" s="3"/>
      <c r="K9" s="4"/>
      <c r="L9" s="5">
        <v>10.0</v>
      </c>
      <c r="M9" s="6">
        <f t="shared" si="3"/>
        <v>0.1053605157</v>
      </c>
      <c r="N9" s="3"/>
      <c r="O9" s="4"/>
      <c r="P9" s="5">
        <v>20.0</v>
      </c>
      <c r="Q9" s="6">
        <f t="shared" si="4"/>
        <v>0.05129329439</v>
      </c>
    </row>
    <row r="10">
      <c r="A10" s="2">
        <v>6.0</v>
      </c>
      <c r="B10" s="7">
        <f t="shared" ref="B10:C10" si="11">((B$3^$A10)/FACT($A10))*EXP(-B$3)</f>
        <v>0.0402743419</v>
      </c>
      <c r="C10" s="7">
        <f t="shared" si="11"/>
        <v>0.00009983651131</v>
      </c>
      <c r="J10" s="3"/>
      <c r="K10" s="4"/>
      <c r="L10" s="5">
        <v>15.0</v>
      </c>
      <c r="M10" s="6">
        <f t="shared" si="3"/>
        <v>0.06899287149</v>
      </c>
      <c r="N10" s="3"/>
      <c r="O10" s="4"/>
      <c r="P10" s="5">
        <v>20.0</v>
      </c>
      <c r="Q10" s="6">
        <f t="shared" si="4"/>
        <v>0.05129329439</v>
      </c>
    </row>
    <row r="11">
      <c r="A11" s="2">
        <v>7.0</v>
      </c>
      <c r="B11" s="7">
        <f t="shared" ref="B11:C11" si="12">((B$3^$A11)/FACT($A11))*EXP(-B$3)</f>
        <v>0.01605700872</v>
      </c>
      <c r="C11" s="7">
        <f t="shared" si="12"/>
        <v>0.00001038299718</v>
      </c>
      <c r="J11" s="3"/>
      <c r="K11" s="4"/>
      <c r="L11" s="5">
        <v>20.0</v>
      </c>
      <c r="M11" s="6">
        <f t="shared" si="3"/>
        <v>0.05129329439</v>
      </c>
      <c r="N11" s="3"/>
      <c r="O11" s="4"/>
      <c r="P11" s="5">
        <v>20.0</v>
      </c>
      <c r="Q11" s="6">
        <f t="shared" si="4"/>
        <v>0.05129329439</v>
      </c>
    </row>
    <row r="12">
      <c r="A12" s="2">
        <v>8.0</v>
      </c>
      <c r="B12" s="7">
        <f t="shared" ref="B12:C12" si="13">((B$3^$A12)/FACT($A12))*EXP(-B$3)</f>
        <v>0.005601558645</v>
      </c>
      <c r="C12" s="7">
        <f t="shared" si="13"/>
        <v>0.0000009448527431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alaves</v>
      </c>
      <c r="J13" s="3"/>
      <c r="K13" s="3"/>
      <c r="L13" s="3" t="s">
        <v>14</v>
      </c>
      <c r="M13" s="6">
        <f>SUM(M2:M11)</f>
        <v>2.167887102</v>
      </c>
      <c r="N13" s="3"/>
      <c r="O13" s="3"/>
      <c r="P13" s="3" t="s">
        <v>14</v>
      </c>
      <c r="Q13" s="6">
        <f>SUM(Q2:Q11)</f>
        <v>1.246046938</v>
      </c>
    </row>
    <row r="14">
      <c r="A14" s="7" t="str">
        <f>B1</f>
        <v>real amdrid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1.94224042</v>
      </c>
      <c r="N14" s="3"/>
      <c r="O14" s="3"/>
      <c r="P14" s="3" t="s">
        <v>15</v>
      </c>
      <c r="Q14" s="6">
        <f>SUM(Q2:Q8)</f>
        <v>1.092167055</v>
      </c>
    </row>
    <row r="15">
      <c r="A15" s="2">
        <v>0.0</v>
      </c>
      <c r="B15" s="7">
        <f>B2*$C$2</f>
        <v>0.02963392529</v>
      </c>
      <c r="C15" s="7">
        <f>C5*B2</f>
        <v>0.02157349761</v>
      </c>
      <c r="D15" s="7">
        <f>C6*B2</f>
        <v>0.007852753131</v>
      </c>
      <c r="E15" s="7">
        <f>C7*B2</f>
        <v>0.001905601426</v>
      </c>
      <c r="F15" s="7">
        <f>C8*B2</f>
        <v>0.0003468194596</v>
      </c>
      <c r="G15" s="7">
        <f>C9*B2</f>
        <v>0.00005049691332</v>
      </c>
      <c r="H15" s="7">
        <f>$C$10*B2</f>
        <v>0.000006126958816</v>
      </c>
    </row>
    <row r="16">
      <c r="A16" s="2">
        <v>1.0</v>
      </c>
      <c r="B16" s="7">
        <f t="shared" ref="B16:B21" si="14">B5*$C$2</f>
        <v>0.0827034092</v>
      </c>
      <c r="C16" s="7">
        <f t="shared" ref="C16:C21" si="15">$C$5*B5</f>
        <v>0.0602080819</v>
      </c>
      <c r="D16" s="7">
        <f t="shared" ref="D16:D21" si="16">$C$6*B5</f>
        <v>0.02191574181</v>
      </c>
      <c r="E16" s="7">
        <f t="shared" ref="E16:E21" si="17">$C$7*B5</f>
        <v>0.005318220013</v>
      </c>
      <c r="F16" s="7">
        <f t="shared" ref="F16:F21" si="18">$C$8*B5</f>
        <v>0.0009679160424</v>
      </c>
      <c r="G16" s="7">
        <f t="shared" ref="G16:G21" si="19">$C$9*B5</f>
        <v>0.0001409285758</v>
      </c>
      <c r="H16" s="7">
        <f t="shared" ref="H16:H21" si="20">$C$10*B5</f>
        <v>0.00001709933386</v>
      </c>
    </row>
    <row r="17">
      <c r="A17" s="2">
        <v>2.0</v>
      </c>
      <c r="B17" s="7">
        <f t="shared" si="14"/>
        <v>0.1154058031</v>
      </c>
      <c r="C17" s="7">
        <f t="shared" si="15"/>
        <v>0.08401542465</v>
      </c>
      <c r="D17" s="7">
        <f t="shared" si="16"/>
        <v>0.03058161457</v>
      </c>
      <c r="E17" s="7">
        <f t="shared" si="17"/>
        <v>0.00742113847</v>
      </c>
      <c r="F17" s="7">
        <f t="shared" si="18"/>
        <v>0.001350647201</v>
      </c>
      <c r="G17" s="7">
        <f t="shared" si="19"/>
        <v>0.0001966542325</v>
      </c>
      <c r="H17" s="7">
        <f t="shared" si="20"/>
        <v>0.00002386071355</v>
      </c>
    </row>
    <row r="18">
      <c r="A18" s="2">
        <v>3.0</v>
      </c>
      <c r="B18" s="7">
        <f t="shared" si="14"/>
        <v>0.1073595354</v>
      </c>
      <c r="C18" s="7">
        <f t="shared" si="15"/>
        <v>0.0781577418</v>
      </c>
      <c r="D18" s="7">
        <f t="shared" si="16"/>
        <v>0.02844941801</v>
      </c>
      <c r="E18" s="7">
        <f t="shared" si="17"/>
        <v>0.006903725438</v>
      </c>
      <c r="F18" s="7">
        <f t="shared" si="18"/>
        <v>0.00125647803</v>
      </c>
      <c r="G18" s="7">
        <f t="shared" si="19"/>
        <v>0.0001829432011</v>
      </c>
      <c r="H18" s="7">
        <f t="shared" si="20"/>
        <v>0.0000221971084</v>
      </c>
    </row>
    <row r="19">
      <c r="A19" s="2">
        <v>4.0</v>
      </c>
      <c r="B19" s="7">
        <f t="shared" si="14"/>
        <v>0.07490569933</v>
      </c>
      <c r="C19" s="7">
        <f t="shared" si="15"/>
        <v>0.05453134911</v>
      </c>
      <c r="D19" s="7">
        <f t="shared" si="16"/>
        <v>0.01984941108</v>
      </c>
      <c r="E19" s="7">
        <f t="shared" si="17"/>
        <v>0.004816790421</v>
      </c>
      <c r="F19" s="7">
        <f t="shared" si="18"/>
        <v>0.0008766558566</v>
      </c>
      <c r="G19" s="7">
        <f t="shared" si="19"/>
        <v>0.0001276410927</v>
      </c>
      <c r="H19" s="7">
        <f t="shared" si="20"/>
        <v>0.00001548711925</v>
      </c>
    </row>
    <row r="20">
      <c r="A20" s="2">
        <v>5.0</v>
      </c>
      <c r="B20" s="7">
        <f t="shared" si="14"/>
        <v>0.04180989621</v>
      </c>
      <c r="C20" s="7">
        <f t="shared" si="15"/>
        <v>0.03043760444</v>
      </c>
      <c r="D20" s="7">
        <f t="shared" si="16"/>
        <v>0.01107928802</v>
      </c>
      <c r="E20" s="7">
        <f t="shared" si="17"/>
        <v>0.002688573892</v>
      </c>
      <c r="F20" s="7">
        <f t="shared" si="18"/>
        <v>0.0004893204483</v>
      </c>
      <c r="G20" s="7">
        <f t="shared" si="19"/>
        <v>0.00007124505727</v>
      </c>
      <c r="H20" s="7">
        <f t="shared" si="20"/>
        <v>0.000008644400282</v>
      </c>
    </row>
    <row r="21">
      <c r="A21" s="2">
        <v>6.0</v>
      </c>
      <c r="B21" s="7">
        <f t="shared" si="14"/>
        <v>0.01944742341</v>
      </c>
      <c r="C21" s="7">
        <f t="shared" si="15"/>
        <v>0.01415772424</v>
      </c>
      <c r="D21" s="7">
        <f t="shared" si="16"/>
        <v>0.005153411624</v>
      </c>
      <c r="E21" s="7">
        <f t="shared" si="17"/>
        <v>0.001250561221</v>
      </c>
      <c r="F21" s="7">
        <f t="shared" si="18"/>
        <v>0.0002276021422</v>
      </c>
      <c r="G21" s="7">
        <f t="shared" si="19"/>
        <v>0.0000331388719</v>
      </c>
      <c r="H21" s="7">
        <f t="shared" si="20"/>
        <v>0.000004020849791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0.002704845755</v>
      </c>
      <c r="C25" s="10">
        <f>C15*B12</f>
        <v>0.000120845212</v>
      </c>
      <c r="D25" s="10">
        <f>C16*B12</f>
        <v>0.0003372591016</v>
      </c>
      <c r="E25" s="10">
        <f>C17*B12</f>
        <v>0.0004706173282</v>
      </c>
      <c r="F25" s="10">
        <f>C18*B12</f>
        <v>0.0004378051742</v>
      </c>
      <c r="G25" s="10">
        <f>C19*B12</f>
        <v>0.00030546055</v>
      </c>
      <c r="H25" s="10">
        <f>$C$10*B12</f>
        <v>0.000000559240073</v>
      </c>
    </row>
    <row r="26">
      <c r="A26" s="2">
        <v>1.0</v>
      </c>
      <c r="B26" s="10">
        <f t="shared" ref="B26:B31" si="21">B15*$C$2</f>
        <v>0.0143094453</v>
      </c>
      <c r="C26" s="10">
        <f t="shared" ref="C26:C31" si="22">$C$5*B15</f>
        <v>0.01041727618</v>
      </c>
      <c r="D26" s="10">
        <f>$C$6*B15</f>
        <v>0.003791888529</v>
      </c>
      <c r="E26" s="10">
        <f>$C$7*B15</f>
        <v>0.0009201649497</v>
      </c>
      <c r="F26" s="10">
        <f>$C$8*B15</f>
        <v>0.0001674700209</v>
      </c>
      <c r="G26" s="10">
        <f>$C$9*B15</f>
        <v>0.00002438363504</v>
      </c>
      <c r="H26" s="10">
        <f>$C$10*B15</f>
        <v>0.000002958547718</v>
      </c>
    </row>
    <row r="27">
      <c r="A27" s="2">
        <v>2.0</v>
      </c>
      <c r="B27" s="10">
        <f t="shared" si="21"/>
        <v>0.0399353072</v>
      </c>
      <c r="C27" s="10">
        <f t="shared" si="22"/>
        <v>0.02907290364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0.05572643551</v>
      </c>
      <c r="C28" s="10">
        <f t="shared" si="22"/>
        <v>0.04056884505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0.05184110389</v>
      </c>
      <c r="C29" s="10">
        <f t="shared" si="22"/>
        <v>0.03774032363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0.03616999762</v>
      </c>
      <c r="C30" s="10">
        <f t="shared" si="22"/>
        <v>0.02633175827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0.02018890231</v>
      </c>
      <c r="C31" s="10">
        <f t="shared" si="22"/>
        <v>0.01469752088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real amdrid</v>
      </c>
      <c r="J33" s="2" t="s">
        <v>17</v>
      </c>
      <c r="K33" s="7" t="str">
        <f>B13</f>
        <v>alaves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0.001306099074</v>
      </c>
      <c r="C36" s="10">
        <f t="shared" ref="C36:C41" si="24">$C$5*B25</f>
        <v>0.0009508401257</v>
      </c>
      <c r="D36" s="10">
        <f>$C$6*B25</f>
        <v>0.0003461058057</v>
      </c>
      <c r="E36" s="10">
        <f>$C$7*B25</f>
        <v>0.00008398834219</v>
      </c>
      <c r="F36" s="10">
        <f>$C$8*B25</f>
        <v>0.00001528587828</v>
      </c>
      <c r="G36" s="10">
        <f>$C$9*B25</f>
        <v>0.000002225623877</v>
      </c>
      <c r="H36" s="10">
        <f>$C$10*B25</f>
        <v>0.0000002700423638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0.006909655835</v>
      </c>
      <c r="C37" s="10">
        <f t="shared" si="24"/>
        <v>0.005030229448</v>
      </c>
      <c r="D37" s="7">
        <f t="shared" ref="D37:H37" si="25">D27*D17</f>
        <v>0.005096935762</v>
      </c>
      <c r="E37" s="7">
        <f t="shared" si="25"/>
        <v>0.000742113847</v>
      </c>
      <c r="F37" s="7">
        <f t="shared" si="25"/>
        <v>0.00009004314676</v>
      </c>
      <c r="G37" s="7">
        <f t="shared" si="25"/>
        <v>0.000009364487263</v>
      </c>
      <c r="H37" s="7">
        <f t="shared" si="25"/>
        <v>0.000000852168341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0.005096935762</v>
      </c>
      <c r="N37" s="7">
        <f>E27*D18</f>
        <v>0.002844941801</v>
      </c>
      <c r="O37" s="7">
        <f>F27*D19</f>
        <v>0.001323294072</v>
      </c>
      <c r="P37" s="7">
        <f>G27*D20</f>
        <v>0.0005275851436</v>
      </c>
      <c r="Q37" s="7">
        <f>H27*D21</f>
        <v>0.0001840504152</v>
      </c>
    </row>
    <row r="38">
      <c r="A38" s="2">
        <v>3.0</v>
      </c>
      <c r="B38" s="10">
        <f t="shared" si="23"/>
        <v>0.01928371245</v>
      </c>
      <c r="C38" s="10">
        <f t="shared" si="24"/>
        <v>0.01403854266</v>
      </c>
      <c r="D38" s="10"/>
      <c r="E38" s="7">
        <f t="shared" ref="E38:H38" si="28">E28*E18</f>
        <v>0.002071117631</v>
      </c>
      <c r="F38" s="7">
        <f t="shared" si="28"/>
        <v>0.0002512956059</v>
      </c>
      <c r="G38" s="7">
        <f t="shared" si="28"/>
        <v>0.00002613474302</v>
      </c>
      <c r="H38" s="7">
        <f t="shared" si="28"/>
        <v>0.000002378261615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0.002071117631</v>
      </c>
      <c r="O38" s="7">
        <f>F28*E19</f>
        <v>0.0009633580842</v>
      </c>
      <c r="P38" s="7">
        <f>G28*E20</f>
        <v>0.0003840819845</v>
      </c>
      <c r="Q38" s="7">
        <f>H28*E21</f>
        <v>0.0001339887022</v>
      </c>
    </row>
    <row r="39">
      <c r="A39" s="2">
        <v>4.0</v>
      </c>
      <c r="B39" s="10">
        <f t="shared" si="23"/>
        <v>0.02690883414</v>
      </c>
      <c r="C39" s="10">
        <f t="shared" si="24"/>
        <v>0.01958963126</v>
      </c>
      <c r="D39" s="10"/>
      <c r="E39" s="10"/>
      <c r="F39" s="7">
        <f t="shared" ref="F39:H39" si="29">F29*F19</f>
        <v>0.0003506623427</v>
      </c>
      <c r="G39" s="7">
        <f t="shared" si="29"/>
        <v>0.00003646888364</v>
      </c>
      <c r="H39" s="7">
        <f t="shared" si="29"/>
        <v>0.000003318668411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0.0003506623427</v>
      </c>
      <c r="P39" s="7">
        <f>G29*F20</f>
        <v>0.0001398058424</v>
      </c>
      <c r="Q39" s="7">
        <f>H29*F21</f>
        <v>0.00004877188761</v>
      </c>
    </row>
    <row r="40">
      <c r="A40" s="2">
        <v>5.0</v>
      </c>
      <c r="B40" s="10">
        <f t="shared" si="23"/>
        <v>0.02503270941</v>
      </c>
      <c r="C40" s="10">
        <f t="shared" si="24"/>
        <v>0.01822381245</v>
      </c>
      <c r="D40" s="10"/>
      <c r="E40" s="10"/>
      <c r="F40" s="10"/>
      <c r="G40" s="7">
        <f t="shared" ref="G40:H40" si="30">G30*G20</f>
        <v>0.00003392621775</v>
      </c>
      <c r="H40" s="7">
        <f t="shared" si="30"/>
        <v>0.000003087285815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0.00003392621775</v>
      </c>
      <c r="Q40" s="7">
        <f>H30*G21</f>
        <v>0.00001183531139</v>
      </c>
    </row>
    <row r="41">
      <c r="A41" s="2">
        <v>6.0</v>
      </c>
      <c r="B41" s="10">
        <f t="shared" si="23"/>
        <v>0.0174655432</v>
      </c>
      <c r="C41" s="10">
        <f t="shared" si="24"/>
        <v>0.01271491545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30</v>
      </c>
      <c r="C1" s="1" t="s">
        <v>31</v>
      </c>
      <c r="D1" s="2" t="s">
        <v>2</v>
      </c>
      <c r="G1" s="2" t="str">
        <f t="shared" ref="G1:H1" si="1">B1</f>
        <v>werder</v>
      </c>
      <c r="H1" s="2" t="str">
        <f t="shared" si="1"/>
        <v>hambourg</v>
      </c>
      <c r="J1" s="3" t="str">
        <f>G1</f>
        <v>werder</v>
      </c>
      <c r="K1" s="3" t="s">
        <v>3</v>
      </c>
      <c r="L1" s="3" t="s">
        <v>4</v>
      </c>
      <c r="M1" s="3" t="s">
        <v>5</v>
      </c>
      <c r="N1" s="3" t="str">
        <f>H1</f>
        <v>hambourg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0.15819555208045444</v>
      </c>
      <c r="C2" s="1">
        <v>0.3362164937067331</v>
      </c>
      <c r="D2" s="2" t="s">
        <v>7</v>
      </c>
      <c r="E2" s="1">
        <v>2.5</v>
      </c>
      <c r="F2" s="2" t="s">
        <v>8</v>
      </c>
      <c r="G2" s="1">
        <v>1.89</v>
      </c>
      <c r="H2" s="1">
        <v>4.68</v>
      </c>
      <c r="J2" s="3"/>
      <c r="K2" s="4"/>
      <c r="L2" s="5">
        <v>1.95</v>
      </c>
      <c r="M2" s="6">
        <f t="shared" ref="M2:M11" si="3">IFERROR(-ln(1-(1/L2)),0)</f>
        <v>0.719122667</v>
      </c>
      <c r="N2" s="3"/>
      <c r="O2" s="4"/>
      <c r="P2" s="5"/>
      <c r="Q2" s="6">
        <f t="shared" ref="Q2:Q11" si="4">IFERROR(-ln(1-(1/P2)),0)</f>
        <v>0</v>
      </c>
    </row>
    <row r="3">
      <c r="A3" s="2" t="s">
        <v>5</v>
      </c>
      <c r="B3" s="7">
        <f t="shared" ref="B3:C3" si="2">-ln(B2)</f>
        <v>1.84392334</v>
      </c>
      <c r="C3" s="7">
        <f t="shared" si="2"/>
        <v>1.09</v>
      </c>
      <c r="D3" s="2" t="s">
        <v>9</v>
      </c>
      <c r="E3" s="1">
        <v>1.78</v>
      </c>
      <c r="F3" s="2" t="s">
        <v>10</v>
      </c>
      <c r="G3" s="8">
        <f>1/(1/G2+SUM(D37:H40))</f>
        <v>1.832962608</v>
      </c>
      <c r="H3" s="8">
        <f>1/(1/H2+SUM(M37:Q40))</f>
        <v>4.288076235</v>
      </c>
      <c r="J3" s="3"/>
      <c r="K3" s="4"/>
      <c r="L3" s="5">
        <v>2.15</v>
      </c>
      <c r="M3" s="6">
        <f t="shared" si="3"/>
        <v>0.6257058998</v>
      </c>
      <c r="N3" s="3"/>
      <c r="O3" s="4"/>
      <c r="P3" s="5"/>
      <c r="Q3" s="6">
        <f t="shared" si="4"/>
        <v>0</v>
      </c>
    </row>
    <row r="4">
      <c r="A4" s="2" t="s">
        <v>11</v>
      </c>
      <c r="J4" s="3"/>
      <c r="K4" s="4"/>
      <c r="L4" s="5">
        <v>3.5</v>
      </c>
      <c r="M4" s="6">
        <f t="shared" si="3"/>
        <v>0.3364722366</v>
      </c>
      <c r="N4" s="3"/>
      <c r="O4" s="4"/>
      <c r="P4" s="5"/>
      <c r="Q4" s="6">
        <f t="shared" si="4"/>
        <v>0</v>
      </c>
    </row>
    <row r="5">
      <c r="A5" s="2">
        <v>1.0</v>
      </c>
      <c r="B5" s="7">
        <f t="shared" ref="B5:C5" si="5">((B$3^$A5)/FACT($A5))*EXP(-B$3)</f>
        <v>0.2917004707</v>
      </c>
      <c r="C5" s="7">
        <f t="shared" si="5"/>
        <v>0.3664759781</v>
      </c>
      <c r="D5" s="2">
        <v>1.5</v>
      </c>
      <c r="E5" s="7">
        <f>1/(B2*(C2+C5)+B5*C2)</f>
        <v>4.779261834</v>
      </c>
      <c r="J5" s="3"/>
      <c r="K5" s="4"/>
      <c r="L5" s="5">
        <v>4.0</v>
      </c>
      <c r="M5" s="6">
        <f t="shared" si="3"/>
        <v>0.2876820725</v>
      </c>
      <c r="N5" s="3"/>
      <c r="O5" s="4"/>
      <c r="P5" s="5"/>
      <c r="Q5" s="6">
        <f t="shared" si="4"/>
        <v>0</v>
      </c>
    </row>
    <row r="6">
      <c r="A6" s="2">
        <v>2.0</v>
      </c>
      <c r="B6" s="7">
        <f t="shared" ref="B6:C6" si="6">((B$3^$A6)/FACT($A6))*EXP(-B$3)</f>
        <v>0.2689366531</v>
      </c>
      <c r="C6" s="7">
        <f t="shared" si="6"/>
        <v>0.1997294081</v>
      </c>
      <c r="D6" s="2">
        <v>2.5</v>
      </c>
      <c r="E6" s="7">
        <f>1/(B2*(C2+C5+C6)+B5*(C2+C5)+B6*C2)</f>
        <v>2.282293241</v>
      </c>
      <c r="F6" s="2" t="s">
        <v>12</v>
      </c>
      <c r="J6" s="3"/>
      <c r="K6" s="4"/>
      <c r="L6" s="5">
        <v>4.5</v>
      </c>
      <c r="M6" s="6">
        <f t="shared" si="3"/>
        <v>0.2513144283</v>
      </c>
      <c r="N6" s="3"/>
      <c r="O6" s="4"/>
      <c r="P6" s="5"/>
      <c r="Q6" s="6">
        <f t="shared" si="4"/>
        <v>0</v>
      </c>
    </row>
    <row r="7">
      <c r="A7" s="2">
        <v>3.0</v>
      </c>
      <c r="B7" s="7">
        <f t="shared" ref="B7:C7" si="7">((B$3^$A7)/FACT($A7))*EXP(-B$3)</f>
        <v>0.1652995239</v>
      </c>
      <c r="C7" s="7">
        <f t="shared" si="7"/>
        <v>0.0725683516</v>
      </c>
      <c r="D7" s="2">
        <v>3.5</v>
      </c>
      <c r="E7" s="7">
        <f>1/(B2*(C2+C5+C6+C7)+B5*(C2+C5+C6)+B6*(C2+C5)+B7*C2)</f>
        <v>1.510500563</v>
      </c>
      <c r="F7" s="7" t="str">
        <f>B1</f>
        <v>werder</v>
      </c>
      <c r="G7" s="2" t="s">
        <v>13</v>
      </c>
      <c r="H7" s="7" t="str">
        <f>C1</f>
        <v>hambourg</v>
      </c>
      <c r="J7" s="3"/>
      <c r="K7" s="4"/>
      <c r="L7" s="5">
        <v>3.5</v>
      </c>
      <c r="M7" s="6">
        <f t="shared" si="3"/>
        <v>0.3364722366</v>
      </c>
      <c r="N7" s="3"/>
      <c r="O7" s="4"/>
      <c r="P7" s="5"/>
      <c r="Q7" s="6">
        <f t="shared" si="4"/>
        <v>0</v>
      </c>
    </row>
    <row r="8">
      <c r="A8" s="2">
        <v>4.0</v>
      </c>
      <c r="B8" s="7">
        <f t="shared" ref="B8:C8" si="8">((B$3^$A8)/FACT($A8))*EXP(-B$3)</f>
        <v>0.07619991254</v>
      </c>
      <c r="C8" s="7">
        <f t="shared" si="8"/>
        <v>0.01977487581</v>
      </c>
      <c r="D8" s="2">
        <v>4.5</v>
      </c>
      <c r="E8" s="7">
        <f>1/(B2*(C2+C5+C6+C7+C8)+B5*(C2+C5+C6+C7)+B6*(C2+C5+C6)+B7*(C2+C5)+B8*C2)</f>
        <v>1.21030027</v>
      </c>
      <c r="F8" s="7">
        <f>B5*C2+B6*(C5+C2)+B7*(C6+C5+C2)+B8*(C7+C6+C5+C2)+B9*(C8+C7+C6+C5+C2)+B10*(C9+C8+C7+C6+C5+C2)+B11*(C10+C9+C8+C7+C6+C5+C2)+B12*(C11+C10+C9+C8+C7+C6+C5+C2)</f>
        <v>0.549899668</v>
      </c>
      <c r="G8" s="7">
        <f>B2*C2+B5*C5+B6*C6+B7*C7+B8*C8+B9*C9+B10*C10+B11*C11+B12*C12</f>
        <v>0.2274342778</v>
      </c>
      <c r="H8" s="7">
        <f>C5*B2+C6*(B5+B2)+C7*(B6+B5+B2)+C8*(B7+B6+B5+B2)+C9*(B8+B7+B6+B5+B2)+C10*(B9+B8+B7+B6+B5+B2)+C11*(B10+B9+B7+B8+B6+B5+B2)</f>
        <v>0.2225160437</v>
      </c>
      <c r="J8" s="3"/>
      <c r="K8" s="4"/>
      <c r="L8" s="5">
        <v>9.0</v>
      </c>
      <c r="M8" s="6">
        <f t="shared" si="3"/>
        <v>0.1177830357</v>
      </c>
      <c r="N8" s="3"/>
      <c r="O8" s="4"/>
      <c r="P8" s="5"/>
      <c r="Q8" s="6">
        <f t="shared" si="4"/>
        <v>0</v>
      </c>
    </row>
    <row r="9">
      <c r="A9" s="2">
        <v>5.0</v>
      </c>
      <c r="B9" s="7">
        <f t="shared" ref="B9:C9" si="9">((B$3^$A9)/FACT($A9))*EXP(-B$3)</f>
        <v>0.02810135944</v>
      </c>
      <c r="C9" s="7">
        <f t="shared" si="9"/>
        <v>0.004310922927</v>
      </c>
      <c r="F9" s="9">
        <f t="shared" ref="F9:H9" si="10">1/F8</f>
        <v>1.818513555</v>
      </c>
      <c r="G9" s="9">
        <f t="shared" si="10"/>
        <v>4.396874603</v>
      </c>
      <c r="H9" s="9">
        <f t="shared" si="10"/>
        <v>4.494057972</v>
      </c>
      <c r="J9" s="3"/>
      <c r="K9" s="4"/>
      <c r="L9" s="5">
        <v>9.0</v>
      </c>
      <c r="M9" s="6">
        <f t="shared" si="3"/>
        <v>0.1177830357</v>
      </c>
      <c r="N9" s="3"/>
      <c r="O9" s="4"/>
      <c r="P9" s="5"/>
      <c r="Q9" s="6">
        <f t="shared" si="4"/>
        <v>0</v>
      </c>
    </row>
    <row r="10">
      <c r="A10" s="2">
        <v>6.0</v>
      </c>
      <c r="B10" s="7">
        <f t="shared" ref="B10:C10" si="11">((B$3^$A10)/FACT($A10))*EXP(-B$3)</f>
        <v>0.008636125427</v>
      </c>
      <c r="C10" s="7">
        <f t="shared" si="11"/>
        <v>0.0007831509984</v>
      </c>
      <c r="J10" s="3"/>
      <c r="K10" s="4"/>
      <c r="L10" s="5">
        <v>10.0</v>
      </c>
      <c r="M10" s="6">
        <f t="shared" si="3"/>
        <v>0.1053605157</v>
      </c>
      <c r="N10" s="3"/>
      <c r="O10" s="4"/>
      <c r="P10" s="5"/>
      <c r="Q10" s="6">
        <f t="shared" si="4"/>
        <v>0</v>
      </c>
    </row>
    <row r="11">
      <c r="A11" s="2">
        <v>7.0</v>
      </c>
      <c r="B11" s="7">
        <f t="shared" ref="B11:C11" si="12">((B$3^$A11)/FACT($A11))*EXP(-B$3)</f>
        <v>0.002274907606</v>
      </c>
      <c r="C11" s="7">
        <f t="shared" si="12"/>
        <v>0.0001219477983</v>
      </c>
      <c r="J11" s="3"/>
      <c r="K11" s="4"/>
      <c r="L11" s="5">
        <v>10.0</v>
      </c>
      <c r="M11" s="6">
        <f t="shared" si="3"/>
        <v>0.1053605157</v>
      </c>
      <c r="N11" s="3"/>
      <c r="O11" s="4"/>
      <c r="P11" s="5"/>
      <c r="Q11" s="6">
        <f t="shared" si="4"/>
        <v>0</v>
      </c>
    </row>
    <row r="12">
      <c r="A12" s="2">
        <v>8.0</v>
      </c>
      <c r="B12" s="7">
        <f t="shared" ref="B12:C12" si="13">((B$3^$A12)/FACT($A12))*EXP(-B$3)</f>
        <v>0.0005243444038</v>
      </c>
      <c r="C12" s="7">
        <f t="shared" si="13"/>
        <v>0.00001661538752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hambourg</v>
      </c>
      <c r="J13" s="3"/>
      <c r="K13" s="3"/>
      <c r="L13" s="3" t="s">
        <v>14</v>
      </c>
      <c r="M13" s="6">
        <f>SUM(M2:M11)</f>
        <v>3.003056643</v>
      </c>
      <c r="N13" s="3"/>
      <c r="O13" s="3"/>
      <c r="P13" s="3" t="s">
        <v>14</v>
      </c>
      <c r="Q13" s="6">
        <f>SUM(Q2:Q11)</f>
        <v>0</v>
      </c>
    </row>
    <row r="14">
      <c r="A14" s="7" t="str">
        <f>B1</f>
        <v>werder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2.674552576</v>
      </c>
      <c r="N14" s="3"/>
      <c r="O14" s="3"/>
      <c r="P14" s="3" t="s">
        <v>15</v>
      </c>
      <c r="Q14" s="6">
        <f>SUM(Q2:Q8)</f>
        <v>0</v>
      </c>
    </row>
    <row r="15">
      <c r="A15" s="2">
        <v>0.0</v>
      </c>
      <c r="B15" s="7">
        <f>B2*$C$2</f>
        <v>0.05318795384</v>
      </c>
      <c r="C15" s="7">
        <f>C5*B2</f>
        <v>0.05797486969</v>
      </c>
      <c r="D15" s="7">
        <f>C6*B2</f>
        <v>0.03159630398</v>
      </c>
      <c r="E15" s="7">
        <f>C7*B2</f>
        <v>0.01147999045</v>
      </c>
      <c r="F15" s="7">
        <f>C8*B2</f>
        <v>0.003128297396</v>
      </c>
      <c r="G15" s="7">
        <f>C9*B2</f>
        <v>0.0006819688324</v>
      </c>
      <c r="H15" s="7">
        <f>$C$10*B2</f>
        <v>0.0001238910046</v>
      </c>
    </row>
    <row r="16">
      <c r="A16" s="2">
        <v>1.0</v>
      </c>
      <c r="B16" s="7">
        <f t="shared" ref="B16:B21" si="14">B5*$C$2</f>
        <v>0.09807450949</v>
      </c>
      <c r="C16" s="7">
        <f t="shared" ref="C16:C21" si="15">$C$5*B5</f>
        <v>0.1069012153</v>
      </c>
      <c r="D16" s="7">
        <f t="shared" ref="D16:D21" si="16">$C$6*B5</f>
        <v>0.05826116236</v>
      </c>
      <c r="E16" s="7">
        <f t="shared" ref="E16:E21" si="17">$C$7*B5</f>
        <v>0.02116822232</v>
      </c>
      <c r="F16" s="7">
        <f t="shared" ref="F16:F21" si="18">$C$8*B5</f>
        <v>0.005768340583</v>
      </c>
      <c r="G16" s="7">
        <f t="shared" ref="G16:G21" si="19">$C$9*B5</f>
        <v>0.001257498247</v>
      </c>
      <c r="H16" s="7">
        <f t="shared" ref="H16:H21" si="20">$C$10*B5</f>
        <v>0.0002284455149</v>
      </c>
    </row>
    <row r="17">
      <c r="A17" s="2">
        <v>2.0</v>
      </c>
      <c r="B17" s="7">
        <f t="shared" si="14"/>
        <v>0.09042093854</v>
      </c>
      <c r="C17" s="7">
        <f t="shared" si="15"/>
        <v>0.09855882301</v>
      </c>
      <c r="D17" s="7">
        <f t="shared" si="16"/>
        <v>0.05371455854</v>
      </c>
      <c r="E17" s="7">
        <f t="shared" si="17"/>
        <v>0.0195162896</v>
      </c>
      <c r="F17" s="7">
        <f t="shared" si="18"/>
        <v>0.005318188917</v>
      </c>
      <c r="G17" s="7">
        <f t="shared" si="19"/>
        <v>0.001159365184</v>
      </c>
      <c r="H17" s="7">
        <f t="shared" si="20"/>
        <v>0.0002106180084</v>
      </c>
    </row>
    <row r="18">
      <c r="A18" s="2">
        <v>3.0</v>
      </c>
      <c r="B18" s="7">
        <f t="shared" si="14"/>
        <v>0.05557642633</v>
      </c>
      <c r="C18" s="7">
        <f t="shared" si="15"/>
        <v>0.0605783047</v>
      </c>
      <c r="D18" s="7">
        <f t="shared" si="16"/>
        <v>0.03301517606</v>
      </c>
      <c r="E18" s="7">
        <f t="shared" si="17"/>
        <v>0.01199551397</v>
      </c>
      <c r="F18" s="7">
        <f t="shared" si="18"/>
        <v>0.003268777556</v>
      </c>
      <c r="G18" s="7">
        <f t="shared" si="19"/>
        <v>0.0007125935073</v>
      </c>
      <c r="H18" s="7">
        <f t="shared" si="20"/>
        <v>0.0001294544872</v>
      </c>
    </row>
    <row r="19">
      <c r="A19" s="2">
        <v>4.0</v>
      </c>
      <c r="B19" s="7">
        <f t="shared" si="14"/>
        <v>0.02561966741</v>
      </c>
      <c r="C19" s="7">
        <f t="shared" si="15"/>
        <v>0.02792543748</v>
      </c>
      <c r="D19" s="7">
        <f t="shared" si="16"/>
        <v>0.01521936343</v>
      </c>
      <c r="E19" s="7">
        <f t="shared" si="17"/>
        <v>0.005529702045</v>
      </c>
      <c r="F19" s="7">
        <f t="shared" si="18"/>
        <v>0.001506843807</v>
      </c>
      <c r="G19" s="7">
        <f t="shared" si="19"/>
        <v>0.00032849195</v>
      </c>
      <c r="H19" s="7">
        <f t="shared" si="20"/>
        <v>0.00005967603758</v>
      </c>
    </row>
    <row r="20">
      <c r="A20" s="2">
        <v>5.0</v>
      </c>
      <c r="B20" s="7">
        <f t="shared" si="14"/>
        <v>0.009448140541</v>
      </c>
      <c r="C20" s="7">
        <f t="shared" si="15"/>
        <v>0.01029847319</v>
      </c>
      <c r="D20" s="7">
        <f t="shared" si="16"/>
        <v>0.005612667888</v>
      </c>
      <c r="E20" s="7">
        <f t="shared" si="17"/>
        <v>0.002039269333</v>
      </c>
      <c r="F20" s="7">
        <f t="shared" si="18"/>
        <v>0.0005557008932</v>
      </c>
      <c r="G20" s="7">
        <f t="shared" si="19"/>
        <v>0.0001211427947</v>
      </c>
      <c r="H20" s="7">
        <f t="shared" si="20"/>
        <v>0.00002200760771</v>
      </c>
    </row>
    <row r="21">
      <c r="A21" s="2">
        <v>6.0</v>
      </c>
      <c r="B21" s="7">
        <f t="shared" si="14"/>
        <v>0.00290360781</v>
      </c>
      <c r="C21" s="7">
        <f t="shared" si="15"/>
        <v>0.003164932513</v>
      </c>
      <c r="D21" s="7">
        <f t="shared" si="16"/>
        <v>0.00172488822</v>
      </c>
      <c r="E21" s="7">
        <f t="shared" si="17"/>
        <v>0.0006267093865</v>
      </c>
      <c r="F21" s="7">
        <f t="shared" si="18"/>
        <v>0.0001707783078</v>
      </c>
      <c r="G21" s="7">
        <f t="shared" si="19"/>
        <v>0.0000372296711</v>
      </c>
      <c r="H21" s="7">
        <f t="shared" si="20"/>
        <v>0.00000676339025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0.0001762932369</v>
      </c>
      <c r="C25" s="10">
        <f>C15*B12</f>
        <v>0.00003039879848</v>
      </c>
      <c r="D25" s="10">
        <f>C16*B12</f>
        <v>0.00005605305402</v>
      </c>
      <c r="E25" s="10">
        <f>C17*B12</f>
        <v>0.00005167876729</v>
      </c>
      <c r="F25" s="10">
        <f>C18*B12</f>
        <v>0.00003176389506</v>
      </c>
      <c r="G25" s="10">
        <f>C19*B12</f>
        <v>0.00001464254687</v>
      </c>
      <c r="H25" s="10">
        <f>$C$10*B12</f>
        <v>0.0000004106408433</v>
      </c>
    </row>
    <row r="26">
      <c r="A26" s="2">
        <v>1.0</v>
      </c>
      <c r="B26" s="10">
        <f t="shared" ref="B26:B31" si="21">B15*$C$2</f>
        <v>0.01788266735</v>
      </c>
      <c r="C26" s="10">
        <f t="shared" ref="C26:C31" si="22">$C$5*B15</f>
        <v>0.01949210741</v>
      </c>
      <c r="D26" s="10">
        <f>$C$6*B15</f>
        <v>0.01062319854</v>
      </c>
      <c r="E26" s="10">
        <f>$C$7*B15</f>
        <v>0.003859762135</v>
      </c>
      <c r="F26" s="10">
        <f>$C$8*B15</f>
        <v>0.001051785182</v>
      </c>
      <c r="G26" s="10">
        <f>$C$9*B15</f>
        <v>0.0002292891697</v>
      </c>
      <c r="H26" s="10">
        <f>$C$10*B15</f>
        <v>0.00004165419915</v>
      </c>
    </row>
    <row r="27">
      <c r="A27" s="2">
        <v>2.0</v>
      </c>
      <c r="B27" s="10">
        <f t="shared" si="21"/>
        <v>0.0329742677</v>
      </c>
      <c r="C27" s="10">
        <f t="shared" si="22"/>
        <v>0.03594195179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0.03040101091</v>
      </c>
      <c r="C28" s="10">
        <f t="shared" si="22"/>
        <v>0.0331371019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0.01868571119</v>
      </c>
      <c r="C29" s="10">
        <f t="shared" si="22"/>
        <v>0.0203674252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0.008613754748</v>
      </c>
      <c r="C30" s="10">
        <f t="shared" si="22"/>
        <v>0.009388992675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0.003176620685</v>
      </c>
      <c r="C31" s="10">
        <f t="shared" si="22"/>
        <v>0.003462516546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werder</v>
      </c>
      <c r="J33" s="2" t="s">
        <v>17</v>
      </c>
      <c r="K33" s="7" t="str">
        <f>B13</f>
        <v>hambourg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0.00005927269398</v>
      </c>
      <c r="C36" s="10">
        <f t="shared" ref="C36:C41" si="24">$C$5*B25</f>
        <v>0.00006460723644</v>
      </c>
      <c r="D36" s="10">
        <f>$C$6*B25</f>
        <v>0.00003521094386</v>
      </c>
      <c r="E36" s="10">
        <f>$C$7*B25</f>
        <v>0.0000127933096</v>
      </c>
      <c r="F36" s="10">
        <f>$C$8*B25</f>
        <v>0.000003486176867</v>
      </c>
      <c r="G36" s="10">
        <f>$C$9*B25</f>
        <v>0.000000759986557</v>
      </c>
      <c r="H36" s="10">
        <f>$C$10*B25</f>
        <v>0.0000001380642245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0.006012447714</v>
      </c>
      <c r="C37" s="10">
        <f t="shared" si="24"/>
        <v>0.006553568008</v>
      </c>
      <c r="D37" s="7">
        <f t="shared" ref="D37:H37" si="25">D27*D17</f>
        <v>0.008952426423</v>
      </c>
      <c r="E37" s="7">
        <f t="shared" si="25"/>
        <v>0.00195162896</v>
      </c>
      <c r="F37" s="7">
        <f t="shared" si="25"/>
        <v>0.0003545459278</v>
      </c>
      <c r="G37" s="7">
        <f t="shared" si="25"/>
        <v>0.0000552078659</v>
      </c>
      <c r="H37" s="7">
        <f t="shared" si="25"/>
        <v>0.000007522071729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0.008952426423</v>
      </c>
      <c r="N37" s="7">
        <f>E27*D18</f>
        <v>0.003301517606</v>
      </c>
      <c r="O37" s="7">
        <f>F27*D19</f>
        <v>0.001014624228</v>
      </c>
      <c r="P37" s="7">
        <f>G27*D20</f>
        <v>0.0002672698994</v>
      </c>
      <c r="Q37" s="7">
        <f>H27*D21</f>
        <v>0.0000616031507</v>
      </c>
    </row>
    <row r="38">
      <c r="A38" s="2">
        <v>3.0</v>
      </c>
      <c r="B38" s="10">
        <f t="shared" si="23"/>
        <v>0.01108649267</v>
      </c>
      <c r="C38" s="10">
        <f t="shared" si="24"/>
        <v>0.01208427701</v>
      </c>
      <c r="D38" s="10"/>
      <c r="E38" s="7">
        <f t="shared" ref="E38:H38" si="28">E28*E18</f>
        <v>0.003598654191</v>
      </c>
      <c r="F38" s="7">
        <f t="shared" si="28"/>
        <v>0.0006537555113</v>
      </c>
      <c r="G38" s="7">
        <f t="shared" si="28"/>
        <v>0.0001017990725</v>
      </c>
      <c r="H38" s="7">
        <f t="shared" si="28"/>
        <v>0.00001387012362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0.003598654191</v>
      </c>
      <c r="O38" s="7">
        <f>F28*E19</f>
        <v>0.001105940409</v>
      </c>
      <c r="P38" s="7">
        <f>G28*E20</f>
        <v>0.0002913241904</v>
      </c>
      <c r="Q38" s="7">
        <f>H28*E21</f>
        <v>0.00006714743426</v>
      </c>
    </row>
    <row r="39">
      <c r="A39" s="2">
        <v>4.0</v>
      </c>
      <c r="B39" s="10">
        <f t="shared" si="23"/>
        <v>0.01022132129</v>
      </c>
      <c r="C39" s="10">
        <f t="shared" si="24"/>
        <v>0.01114124021</v>
      </c>
      <c r="D39" s="10"/>
      <c r="E39" s="10"/>
      <c r="F39" s="7">
        <f t="shared" ref="F39:H39" si="29">F29*F19</f>
        <v>0.0006027375229</v>
      </c>
      <c r="G39" s="7">
        <f t="shared" si="29"/>
        <v>0.00009385484285</v>
      </c>
      <c r="H39" s="7">
        <f t="shared" si="29"/>
        <v>0.00001278772234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0.0006027375229</v>
      </c>
      <c r="P39" s="7">
        <f>G29*F20</f>
        <v>0.0001587716838</v>
      </c>
      <c r="Q39" s="7">
        <f>H29*F21</f>
        <v>0.00003659535167</v>
      </c>
    </row>
    <row r="40">
      <c r="A40" s="2">
        <v>5.0</v>
      </c>
      <c r="B40" s="10">
        <f t="shared" si="23"/>
        <v>0.0062824443</v>
      </c>
      <c r="C40" s="10">
        <f t="shared" si="24"/>
        <v>0.006847864287</v>
      </c>
      <c r="D40" s="10"/>
      <c r="E40" s="10"/>
      <c r="F40" s="10"/>
      <c r="G40" s="7">
        <f t="shared" ref="G40:H40" si="30">G30*G20</f>
        <v>0.0000576870451</v>
      </c>
      <c r="H40" s="7">
        <f t="shared" si="30"/>
        <v>0.000007859859895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0.0000576870451</v>
      </c>
      <c r="Q40" s="7">
        <f>H30*G21</f>
        <v>0.00001329631111</v>
      </c>
    </row>
    <row r="41">
      <c r="A41" s="2">
        <v>6.0</v>
      </c>
      <c r="B41" s="10">
        <f t="shared" si="23"/>
        <v>0.002896086419</v>
      </c>
      <c r="C41" s="10">
        <f t="shared" si="24"/>
        <v>0.003156734197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32</v>
      </c>
      <c r="C1" s="1" t="s">
        <v>33</v>
      </c>
      <c r="D1" s="2" t="s">
        <v>2</v>
      </c>
      <c r="G1" s="2" t="str">
        <f t="shared" ref="G1:H1" si="1">B1</f>
        <v>leverkusen</v>
      </c>
      <c r="H1" s="2" t="str">
        <f t="shared" si="1"/>
        <v>augsbourg</v>
      </c>
      <c r="J1" s="3" t="str">
        <f>G1</f>
        <v>leverkusen</v>
      </c>
      <c r="K1" s="3" t="s">
        <v>3</v>
      </c>
      <c r="L1" s="3" t="s">
        <v>4</v>
      </c>
      <c r="M1" s="3" t="s">
        <v>5</v>
      </c>
      <c r="N1" s="3" t="str">
        <f>H1</f>
        <v>augsbourg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0.0771883049108998</v>
      </c>
      <c r="C2" s="1">
        <v>0.36935390589963174</v>
      </c>
      <c r="D2" s="2" t="s">
        <v>7</v>
      </c>
      <c r="E2" s="1">
        <v>2.5</v>
      </c>
      <c r="F2" s="2" t="s">
        <v>8</v>
      </c>
      <c r="G2" s="1">
        <v>1.428</v>
      </c>
      <c r="H2" s="1">
        <v>8.1</v>
      </c>
      <c r="J2" s="3"/>
      <c r="K2" s="4"/>
      <c r="L2" s="5">
        <v>4.0</v>
      </c>
      <c r="M2" s="6">
        <f t="shared" ref="M2:M11" si="3">IFERROR(-ln(1-(1/L2)),0)</f>
        <v>0.2876820725</v>
      </c>
      <c r="N2" s="3"/>
      <c r="O2" s="4"/>
      <c r="P2" s="5">
        <v>3.25</v>
      </c>
      <c r="Q2" s="6">
        <f t="shared" ref="Q2:Q11" si="4">IFERROR(-ln(1-(1/P2)),0)</f>
        <v>0.3677247801</v>
      </c>
    </row>
    <row r="3">
      <c r="A3" s="2" t="s">
        <v>5</v>
      </c>
      <c r="B3" s="7">
        <f t="shared" ref="B3:C3" si="2">-ln(B2)</f>
        <v>2.561507324</v>
      </c>
      <c r="C3" s="7">
        <f t="shared" si="2"/>
        <v>0.996</v>
      </c>
      <c r="D3" s="2" t="s">
        <v>9</v>
      </c>
      <c r="E3" s="1">
        <v>1.45</v>
      </c>
      <c r="F3" s="2" t="s">
        <v>10</v>
      </c>
      <c r="G3" s="8">
        <f>1/(1/G2+SUM(D37:H40))</f>
        <v>1.397347699</v>
      </c>
      <c r="H3" s="8">
        <f>1/(1/H2+SUM(M37:Q40))</f>
        <v>6.873808247</v>
      </c>
      <c r="J3" s="3"/>
      <c r="K3" s="4"/>
      <c r="L3" s="5">
        <v>4.5</v>
      </c>
      <c r="M3" s="6">
        <f t="shared" si="3"/>
        <v>0.2513144283</v>
      </c>
      <c r="N3" s="3"/>
      <c r="O3" s="4"/>
      <c r="P3" s="5">
        <v>4.5</v>
      </c>
      <c r="Q3" s="6">
        <f t="shared" si="4"/>
        <v>0.2513144283</v>
      </c>
    </row>
    <row r="4">
      <c r="A4" s="2" t="s">
        <v>11</v>
      </c>
      <c r="J4" s="3"/>
      <c r="K4" s="4"/>
      <c r="L4" s="5">
        <v>5.0</v>
      </c>
      <c r="M4" s="6">
        <f t="shared" si="3"/>
        <v>0.2231435513</v>
      </c>
      <c r="N4" s="3"/>
      <c r="O4" s="4"/>
      <c r="P4" s="5">
        <v>5.0</v>
      </c>
      <c r="Q4" s="6">
        <f t="shared" si="4"/>
        <v>0.2231435513</v>
      </c>
    </row>
    <row r="5">
      <c r="A5" s="2">
        <v>1.0</v>
      </c>
      <c r="B5" s="7">
        <f t="shared" ref="B5:C5" si="5">((B$3^$A5)/FACT($A5))*EXP(-B$3)</f>
        <v>0.1977184084</v>
      </c>
      <c r="C5" s="7">
        <f t="shared" si="5"/>
        <v>0.3678764903</v>
      </c>
      <c r="D5" s="2">
        <v>1.5</v>
      </c>
      <c r="E5" s="7">
        <f>1/(B2*(C2+C5)+B5*C2)</f>
        <v>7.696236857</v>
      </c>
      <c r="J5" s="3"/>
      <c r="K5" s="4"/>
      <c r="L5" s="5">
        <v>5.5</v>
      </c>
      <c r="M5" s="6">
        <f t="shared" si="3"/>
        <v>0.2006706955</v>
      </c>
      <c r="N5" s="3"/>
      <c r="O5" s="4"/>
      <c r="P5" s="5">
        <v>5.5</v>
      </c>
      <c r="Q5" s="6">
        <f t="shared" si="4"/>
        <v>0.2006706955</v>
      </c>
    </row>
    <row r="6">
      <c r="A6" s="2">
        <v>2.0</v>
      </c>
      <c r="B6" s="7">
        <f t="shared" ref="B6:C6" si="6">((B$3^$A6)/FACT($A6))*EXP(-B$3)</f>
        <v>0.2532285756</v>
      </c>
      <c r="C6" s="7">
        <f t="shared" si="6"/>
        <v>0.1832024922</v>
      </c>
      <c r="D6" s="2">
        <v>2.5</v>
      </c>
      <c r="E6" s="7">
        <f>1/(B2*(C2+C5+C6)+B5*(C2+C5)+B6*C2)</f>
        <v>3.222255334</v>
      </c>
      <c r="F6" s="2" t="s">
        <v>12</v>
      </c>
      <c r="J6" s="3"/>
      <c r="K6" s="4"/>
      <c r="L6" s="5">
        <v>8.0</v>
      </c>
      <c r="M6" s="6">
        <f t="shared" si="3"/>
        <v>0.1335313926</v>
      </c>
      <c r="N6" s="3"/>
      <c r="O6" s="4"/>
      <c r="P6" s="5">
        <v>6.0</v>
      </c>
      <c r="Q6" s="6">
        <f t="shared" si="4"/>
        <v>0.1823215568</v>
      </c>
    </row>
    <row r="7">
      <c r="A7" s="2">
        <v>3.0</v>
      </c>
      <c r="B7" s="7">
        <f t="shared" ref="B7:C7" si="7">((B$3^$A7)/FACT($A7))*EXP(-B$3)</f>
        <v>0.216215617</v>
      </c>
      <c r="C7" s="7">
        <f t="shared" si="7"/>
        <v>0.0608232274</v>
      </c>
      <c r="D7" s="2">
        <v>3.5</v>
      </c>
      <c r="E7" s="7">
        <f>1/(B2*(C2+C5+C6+C7)+B5*(C2+C5+C6)+B6*(C2+C5)+B7*C2)</f>
        <v>1.907392625</v>
      </c>
      <c r="F7" s="7" t="str">
        <f>B1</f>
        <v>leverkusen</v>
      </c>
      <c r="G7" s="2" t="s">
        <v>13</v>
      </c>
      <c r="H7" s="7" t="str">
        <f>C1</f>
        <v>augsbourg</v>
      </c>
      <c r="J7" s="3"/>
      <c r="K7" s="4"/>
      <c r="L7" s="5">
        <v>8.0</v>
      </c>
      <c r="M7" s="6">
        <f t="shared" si="3"/>
        <v>0.1335313926</v>
      </c>
      <c r="N7" s="3"/>
      <c r="O7" s="4"/>
      <c r="P7" s="5">
        <v>8.0</v>
      </c>
      <c r="Q7" s="6">
        <f t="shared" si="4"/>
        <v>0.1335313926</v>
      </c>
    </row>
    <row r="8">
      <c r="A8" s="2">
        <v>4.0</v>
      </c>
      <c r="B8" s="7">
        <f t="shared" ref="B8:C8" si="8">((B$3^$A8)/FACT($A8))*EXP(-B$3)</f>
        <v>0.1384594717</v>
      </c>
      <c r="C8" s="7">
        <f t="shared" si="8"/>
        <v>0.01514498362</v>
      </c>
      <c r="D8" s="2">
        <v>4.5</v>
      </c>
      <c r="E8" s="7">
        <f>1/(B2*(C2+C5+C6+C7+C8)+B5*(C2+C5+C6+C7)+B6*(C2+C5+C6)+B7*(C2+C5)+B8*C2)</f>
        <v>1.399493766</v>
      </c>
      <c r="F8" s="7">
        <f>B5*C2+B6*(C5+C2)+B7*(C6+C5+C2)+B8*(C7+C6+C5+C2)+B9*(C8+C7+C6+C5+C2)+B10*(C9+C8+C7+C6+C5+C2)+B11*(C10+C9+C8+C7+C6+C5+C2)+B12*(C11+C10+C9+C8+C7+C6+C5+C2)</f>
        <v>0.710163135</v>
      </c>
      <c r="G8" s="7">
        <f>B2*C2+B5*C5+B6*C6+B7*C7+B8*C8+B9*C9+B10*C10+B11*C11+B12*C12</f>
        <v>0.1631157433</v>
      </c>
      <c r="H8" s="7">
        <f>C5*B2+C6*(B5+B2)+C7*(B6+B5+B2)+C8*(B7+B6+B5+B2)+C9*(B8+B7+B6+B5+B2)+C10*(B9+B8+B7+B6+B5+B2)+C11*(B10+B9+B7+B8+B6+B5+B2)</f>
        <v>0.1253665219</v>
      </c>
      <c r="J8" s="3"/>
      <c r="K8" s="4"/>
      <c r="L8" s="5">
        <v>8.0</v>
      </c>
      <c r="M8" s="6">
        <f t="shared" si="3"/>
        <v>0.1335313926</v>
      </c>
      <c r="N8" s="3"/>
      <c r="O8" s="4"/>
      <c r="P8" s="5">
        <v>10.0</v>
      </c>
      <c r="Q8" s="6">
        <f t="shared" si="4"/>
        <v>0.1053605157</v>
      </c>
    </row>
    <row r="9">
      <c r="A9" s="2">
        <v>5.0</v>
      </c>
      <c r="B9" s="7">
        <f t="shared" ref="B9:C9" si="9">((B$3^$A9)/FACT($A9))*EXP(-B$3)</f>
        <v>0.07093299015</v>
      </c>
      <c r="C9" s="7">
        <f t="shared" si="9"/>
        <v>0.003016880737</v>
      </c>
      <c r="F9" s="9">
        <f t="shared" ref="F9:H9" si="10">1/F8</f>
        <v>1.408127162</v>
      </c>
      <c r="G9" s="9">
        <f t="shared" si="10"/>
        <v>6.130616088</v>
      </c>
      <c r="H9" s="9">
        <f t="shared" si="10"/>
        <v>7.97661118</v>
      </c>
      <c r="J9" s="3"/>
      <c r="K9" s="4"/>
      <c r="L9" s="5">
        <v>15.0</v>
      </c>
      <c r="M9" s="6">
        <f t="shared" si="3"/>
        <v>0.06899287149</v>
      </c>
      <c r="N9" s="3"/>
      <c r="O9" s="4"/>
      <c r="P9" s="5">
        <v>15.0</v>
      </c>
      <c r="Q9" s="6">
        <f t="shared" si="4"/>
        <v>0.06899287149</v>
      </c>
    </row>
    <row r="10">
      <c r="A10" s="2">
        <v>6.0</v>
      </c>
      <c r="B10" s="7">
        <f t="shared" ref="B10:C10" si="11">((B$3^$A10)/FACT($A10))*EXP(-B$3)</f>
        <v>0.0302825623</v>
      </c>
      <c r="C10" s="7">
        <f t="shared" si="11"/>
        <v>0.0005008022024</v>
      </c>
      <c r="J10" s="3"/>
      <c r="K10" s="4"/>
      <c r="L10" s="5">
        <v>15.0</v>
      </c>
      <c r="M10" s="6">
        <f t="shared" si="3"/>
        <v>0.06899287149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0.01108128645</v>
      </c>
      <c r="C11" s="7">
        <f t="shared" si="12"/>
        <v>0.00007125699909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15.0</v>
      </c>
      <c r="Q11" s="6">
        <f t="shared" si="4"/>
        <v>0.06899287149</v>
      </c>
    </row>
    <row r="12">
      <c r="A12" s="2">
        <v>8.0</v>
      </c>
      <c r="B12" s="7">
        <f t="shared" ref="B12:C12" si="13">((B$3^$A12)/FACT($A12))*EXP(-B$3)</f>
        <v>0.003548099549</v>
      </c>
      <c r="C12" s="7">
        <f t="shared" si="13"/>
        <v>0.000008871496386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augsbourg</v>
      </c>
      <c r="J13" s="3"/>
      <c r="K13" s="3"/>
      <c r="L13" s="3" t="s">
        <v>14</v>
      </c>
      <c r="M13" s="6">
        <f>SUM(M2:M11)</f>
        <v>1.57038354</v>
      </c>
      <c r="N13" s="3"/>
      <c r="O13" s="3"/>
      <c r="P13" s="3" t="s">
        <v>14</v>
      </c>
      <c r="Q13" s="6">
        <f>SUM(Q2:Q11)</f>
        <v>1.671045535</v>
      </c>
    </row>
    <row r="14">
      <c r="A14" s="7" t="str">
        <f>B1</f>
        <v>leverkusen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1.363404925</v>
      </c>
      <c r="N14" s="3"/>
      <c r="O14" s="3"/>
      <c r="P14" s="3" t="s">
        <v>15</v>
      </c>
      <c r="Q14" s="6">
        <f>SUM(Q2:Q8)</f>
        <v>1.46406692</v>
      </c>
    </row>
    <row r="15">
      <c r="A15" s="2">
        <v>0.0</v>
      </c>
      <c r="B15" s="7">
        <f>B2*$C$2</f>
        <v>0.02850980191</v>
      </c>
      <c r="C15" s="7">
        <f>C5*B2</f>
        <v>0.0283957627</v>
      </c>
      <c r="D15" s="7">
        <f>C6*B2</f>
        <v>0.01414108983</v>
      </c>
      <c r="E15" s="7">
        <f>C7*B2</f>
        <v>0.004694841822</v>
      </c>
      <c r="F15" s="7">
        <f>C8*B2</f>
        <v>0.001169015614</v>
      </c>
      <c r="G15" s="7">
        <f>C9*B2</f>
        <v>0.0002328679102</v>
      </c>
      <c r="H15" s="7">
        <f>$C$10*B2</f>
        <v>0.0000386560731</v>
      </c>
    </row>
    <row r="16">
      <c r="A16" s="2">
        <v>1.0</v>
      </c>
      <c r="B16" s="7">
        <f t="shared" ref="B16:B21" si="14">B5*$C$2</f>
        <v>0.0730280664</v>
      </c>
      <c r="C16" s="7">
        <f t="shared" ref="C16:C21" si="15">$C$5*B5</f>
        <v>0.07273595414</v>
      </c>
      <c r="D16" s="7">
        <f t="shared" ref="D16:D21" si="16">$C$6*B5</f>
        <v>0.03622250516</v>
      </c>
      <c r="E16" s="7">
        <f t="shared" ref="E16:E21" si="17">$C$7*B5</f>
        <v>0.01202587171</v>
      </c>
      <c r="F16" s="7">
        <f t="shared" ref="F16:F21" si="18">$C$8*B5</f>
        <v>0.002994442057</v>
      </c>
      <c r="G16" s="7">
        <f t="shared" ref="G16:G21" si="19">$C$9*B5</f>
        <v>0.0005964928577</v>
      </c>
      <c r="H16" s="7">
        <f t="shared" ref="H16:H21" si="20">$C$10*B5</f>
        <v>0.00009901781437</v>
      </c>
    </row>
    <row r="17">
      <c r="A17" s="2">
        <v>2.0</v>
      </c>
      <c r="B17" s="7">
        <f t="shared" si="14"/>
        <v>0.09353096348</v>
      </c>
      <c r="C17" s="7">
        <f t="shared" si="15"/>
        <v>0.09315683963</v>
      </c>
      <c r="D17" s="7">
        <f t="shared" si="16"/>
        <v>0.04639210613</v>
      </c>
      <c r="E17" s="7">
        <f t="shared" si="17"/>
        <v>0.01540217924</v>
      </c>
      <c r="F17" s="7">
        <f t="shared" si="18"/>
        <v>0.00383514263</v>
      </c>
      <c r="G17" s="7">
        <f t="shared" si="19"/>
        <v>0.0007639604119</v>
      </c>
      <c r="H17" s="7">
        <f t="shared" si="20"/>
        <v>0.0001268174284</v>
      </c>
    </row>
    <row r="18">
      <c r="A18" s="2">
        <v>3.0</v>
      </c>
      <c r="B18" s="7">
        <f t="shared" si="14"/>
        <v>0.07986008266</v>
      </c>
      <c r="C18" s="7">
        <f t="shared" si="15"/>
        <v>0.07954064233</v>
      </c>
      <c r="D18" s="7">
        <f t="shared" si="16"/>
        <v>0.03961123988</v>
      </c>
      <c r="E18" s="7">
        <f t="shared" si="17"/>
        <v>0.01315093164</v>
      </c>
      <c r="F18" s="7">
        <f t="shared" si="18"/>
        <v>0.003274581979</v>
      </c>
      <c r="G18" s="7">
        <f t="shared" si="19"/>
        <v>0.0006522967301</v>
      </c>
      <c r="H18" s="7">
        <f t="shared" si="20"/>
        <v>0.0001082812572</v>
      </c>
    </row>
    <row r="19">
      <c r="A19" s="2">
        <v>4.0</v>
      </c>
      <c r="B19" s="7">
        <f t="shared" si="14"/>
        <v>0.05114054666</v>
      </c>
      <c r="C19" s="7">
        <f t="shared" si="15"/>
        <v>0.05093598448</v>
      </c>
      <c r="D19" s="7">
        <f t="shared" si="16"/>
        <v>0.02536612027</v>
      </c>
      <c r="E19" s="7">
        <f t="shared" si="17"/>
        <v>0.00842155193</v>
      </c>
      <c r="F19" s="7">
        <f t="shared" si="18"/>
        <v>0.00209696643</v>
      </c>
      <c r="G19" s="7">
        <f t="shared" si="19"/>
        <v>0.000417715713</v>
      </c>
      <c r="H19" s="7">
        <f t="shared" si="20"/>
        <v>0.00006934080835</v>
      </c>
    </row>
    <row r="20">
      <c r="A20" s="2">
        <v>5.0</v>
      </c>
      <c r="B20" s="7">
        <f t="shared" si="14"/>
        <v>0.02619937697</v>
      </c>
      <c r="C20" s="7">
        <f t="shared" si="15"/>
        <v>0.02609457946</v>
      </c>
      <c r="D20" s="7">
        <f t="shared" si="16"/>
        <v>0.01299510057</v>
      </c>
      <c r="E20" s="7">
        <f t="shared" si="17"/>
        <v>0.00431437339</v>
      </c>
      <c r="F20" s="7">
        <f t="shared" si="18"/>
        <v>0.001074278974</v>
      </c>
      <c r="G20" s="7">
        <f t="shared" si="19"/>
        <v>0.0002139963716</v>
      </c>
      <c r="H20" s="7">
        <f t="shared" si="20"/>
        <v>0.00003552339769</v>
      </c>
    </row>
    <row r="21">
      <c r="A21" s="2">
        <v>6.0</v>
      </c>
      <c r="B21" s="7">
        <f t="shared" si="14"/>
        <v>0.01118498267</v>
      </c>
      <c r="C21" s="7">
        <f t="shared" si="15"/>
        <v>0.01114024274</v>
      </c>
      <c r="D21" s="7">
        <f t="shared" si="16"/>
        <v>0.005547840882</v>
      </c>
      <c r="E21" s="7">
        <f t="shared" si="17"/>
        <v>0.001841883173</v>
      </c>
      <c r="F21" s="7">
        <f t="shared" si="18"/>
        <v>0.0004586289101</v>
      </c>
      <c r="G21" s="7">
        <f t="shared" si="19"/>
        <v>0.00009135887888</v>
      </c>
      <c r="H21" s="7">
        <f t="shared" si="20"/>
        <v>0.00001516557389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0.001310504427</v>
      </c>
      <c r="C25" s="10">
        <f>C15*B12</f>
        <v>0.0001007509928</v>
      </c>
      <c r="D25" s="10">
        <f>C16*B12</f>
        <v>0.0002580744061</v>
      </c>
      <c r="E25" s="10">
        <f>C17*B12</f>
        <v>0.0003305297407</v>
      </c>
      <c r="F25" s="10">
        <f>C18*B12</f>
        <v>0.0002822181172</v>
      </c>
      <c r="G25" s="10">
        <f>C19*B12</f>
        <v>0.0001807259436</v>
      </c>
      <c r="H25" s="10">
        <f>$C$10*B12</f>
        <v>0.000001776896069</v>
      </c>
    </row>
    <row r="26">
      <c r="A26" s="2">
        <v>1.0</v>
      </c>
      <c r="B26" s="10">
        <f t="shared" ref="B26:B31" si="21">B15*$C$2</f>
        <v>0.01053020669</v>
      </c>
      <c r="C26" s="10">
        <f t="shared" ref="C26:C31" si="22">$C$5*B15</f>
        <v>0.01048808586</v>
      </c>
      <c r="D26" s="10">
        <f>$C$6*B15</f>
        <v>0.005223066761</v>
      </c>
      <c r="E26" s="10">
        <f>$C$7*B15</f>
        <v>0.001734058165</v>
      </c>
      <c r="F26" s="10">
        <f>$C$8*B15</f>
        <v>0.000431780483</v>
      </c>
      <c r="G26" s="10">
        <f>$C$9*B15</f>
        <v>0.00008601067221</v>
      </c>
      <c r="H26" s="10">
        <f>$C$10*B15</f>
        <v>0.00001427777159</v>
      </c>
    </row>
    <row r="27">
      <c r="A27" s="2">
        <v>2.0</v>
      </c>
      <c r="B27" s="10">
        <f t="shared" si="21"/>
        <v>0.02697320157</v>
      </c>
      <c r="C27" s="10">
        <f t="shared" si="22"/>
        <v>0.02686530876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0.03454602668</v>
      </c>
      <c r="C28" s="10">
        <f t="shared" si="22"/>
        <v>0.03440784258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0.02949663346</v>
      </c>
      <c r="C29" s="10">
        <f t="shared" si="22"/>
        <v>0.02937864692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0.01888896066</v>
      </c>
      <c r="C30" s="10">
        <f t="shared" si="22"/>
        <v>0.01881340482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0.009676842216</v>
      </c>
      <c r="C31" s="10">
        <f t="shared" si="22"/>
        <v>0.009638134847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leverkusen</v>
      </c>
      <c r="J33" s="2" t="s">
        <v>17</v>
      </c>
      <c r="K33" s="7" t="str">
        <f>B13</f>
        <v>augsbourg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0.0004840399288</v>
      </c>
      <c r="C36" s="10">
        <f t="shared" ref="C36:C41" si="24">$C$5*B25</f>
        <v>0.0004821037691</v>
      </c>
      <c r="D36" s="10">
        <f>$C$6*B25</f>
        <v>0.000240087677</v>
      </c>
      <c r="E36" s="10">
        <f>$C$7*B25</f>
        <v>0.00007970910877</v>
      </c>
      <c r="F36" s="10">
        <f>$C$8*B25</f>
        <v>0.00001984756808</v>
      </c>
      <c r="G36" s="10">
        <f>$C$9*B25</f>
        <v>0.000003953635562</v>
      </c>
      <c r="H36" s="10">
        <f>$C$10*B25</f>
        <v>0.0000006563035034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0.003889372971</v>
      </c>
      <c r="C37" s="10">
        <f t="shared" si="24"/>
        <v>0.00387381548</v>
      </c>
      <c r="D37" s="7">
        <f t="shared" ref="D37:H37" si="25">D27*D17</f>
        <v>0.007732017689</v>
      </c>
      <c r="E37" s="7">
        <f t="shared" si="25"/>
        <v>0.001540217924</v>
      </c>
      <c r="F37" s="7">
        <f t="shared" si="25"/>
        <v>0.0002556761753</v>
      </c>
      <c r="G37" s="7">
        <f t="shared" si="25"/>
        <v>0.00003637906723</v>
      </c>
      <c r="H37" s="7">
        <f t="shared" si="25"/>
        <v>0.00000452919387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0.007732017689</v>
      </c>
      <c r="N37" s="7">
        <f>E27*D18</f>
        <v>0.003961123988</v>
      </c>
      <c r="O37" s="7">
        <f>F27*D19</f>
        <v>0.001691074685</v>
      </c>
      <c r="P37" s="7">
        <f>G27*D20</f>
        <v>0.0006188143129</v>
      </c>
      <c r="Q37" s="7">
        <f>H27*D21</f>
        <v>0.0001981371744</v>
      </c>
    </row>
    <row r="38">
      <c r="A38" s="2">
        <v>3.0</v>
      </c>
      <c r="B38" s="10">
        <f t="shared" si="23"/>
        <v>0.009962657353</v>
      </c>
      <c r="C38" s="10">
        <f t="shared" si="24"/>
        <v>0.009922806723</v>
      </c>
      <c r="D38" s="10"/>
      <c r="E38" s="7">
        <f t="shared" ref="E38:H38" si="28">E28*E18</f>
        <v>0.003945279492</v>
      </c>
      <c r="F38" s="7">
        <f t="shared" si="28"/>
        <v>0.0006549163957</v>
      </c>
      <c r="G38" s="7">
        <f t="shared" si="28"/>
        <v>0.00009318524716</v>
      </c>
      <c r="H38" s="7">
        <f t="shared" si="28"/>
        <v>0.00001160156327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0.003945279492</v>
      </c>
      <c r="O38" s="7">
        <f>F28*E19</f>
        <v>0.001684310386</v>
      </c>
      <c r="P38" s="7">
        <f>G28*E20</f>
        <v>0.0006163390557</v>
      </c>
      <c r="Q38" s="7">
        <f>H28*E21</f>
        <v>0.0001973446257</v>
      </c>
    </row>
    <row r="39">
      <c r="A39" s="2">
        <v>4.0</v>
      </c>
      <c r="B39" s="10">
        <f t="shared" si="23"/>
        <v>0.01275970989</v>
      </c>
      <c r="C39" s="10">
        <f t="shared" si="24"/>
        <v>0.01270867105</v>
      </c>
      <c r="D39" s="10"/>
      <c r="E39" s="10"/>
      <c r="F39" s="7">
        <f t="shared" ref="F39:H39" si="29">F29*F19</f>
        <v>0.0008387865722</v>
      </c>
      <c r="G39" s="7">
        <f t="shared" si="29"/>
        <v>0.0001193473466</v>
      </c>
      <c r="H39" s="7">
        <f t="shared" si="29"/>
        <v>0.00001485874465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0.0008387865722</v>
      </c>
      <c r="P39" s="7">
        <f>G29*F20</f>
        <v>0.0003069368497</v>
      </c>
      <c r="Q39" s="7">
        <f>H29*F21</f>
        <v>0.00009827762358</v>
      </c>
    </row>
    <row r="40">
      <c r="A40" s="2">
        <v>5.0</v>
      </c>
      <c r="B40" s="10">
        <f t="shared" si="23"/>
        <v>0.01089469678</v>
      </c>
      <c r="C40" s="10">
        <f t="shared" si="24"/>
        <v>0.01085111799</v>
      </c>
      <c r="D40" s="10"/>
      <c r="E40" s="10"/>
      <c r="F40" s="10"/>
      <c r="G40" s="7">
        <f t="shared" ref="G40:H40" si="30">G30*G20</f>
        <v>0.0001019030341</v>
      </c>
      <c r="H40" s="7">
        <f t="shared" si="30"/>
        <v>0.00001268692775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0.0001019030341</v>
      </c>
      <c r="Q40" s="7">
        <f>H30*G21</f>
        <v>0.00003262817103</v>
      </c>
    </row>
    <row r="41">
      <c r="A41" s="2">
        <v>6.0</v>
      </c>
      <c r="B41" s="10">
        <f t="shared" si="23"/>
        <v>0.006976711398</v>
      </c>
      <c r="C41" s="10">
        <f t="shared" si="24"/>
        <v>0.006948804553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34</v>
      </c>
      <c r="C1" s="1" t="s">
        <v>35</v>
      </c>
      <c r="D1" s="2" t="s">
        <v>2</v>
      </c>
      <c r="G1" s="2" t="str">
        <f t="shared" ref="G1:H1" si="1">B1</f>
        <v>fribourg</v>
      </c>
      <c r="H1" s="2" t="str">
        <f t="shared" si="1"/>
        <v>heidenheim</v>
      </c>
      <c r="J1" s="3" t="str">
        <f>G1</f>
        <v>fribourg</v>
      </c>
      <c r="K1" s="3" t="s">
        <v>3</v>
      </c>
      <c r="L1" s="3" t="s">
        <v>4</v>
      </c>
      <c r="M1" s="3" t="s">
        <v>5</v>
      </c>
      <c r="N1" s="3" t="str">
        <f>H1</f>
        <v>heidenheim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0.12526482342612136</v>
      </c>
      <c r="C2" s="1">
        <v>0.3478444089170872</v>
      </c>
      <c r="D2" s="2" t="s">
        <v>7</v>
      </c>
      <c r="E2" s="1">
        <v>2.5</v>
      </c>
      <c r="F2" s="2" t="s">
        <v>8</v>
      </c>
      <c r="G2" s="1">
        <v>1.697</v>
      </c>
      <c r="H2" s="1">
        <v>5.58</v>
      </c>
      <c r="J2" s="3"/>
      <c r="K2" s="4"/>
      <c r="L2" s="5">
        <v>1.85</v>
      </c>
      <c r="M2" s="6">
        <f t="shared" ref="M2:M11" si="3">IFERROR(-ln(1-(1/L2)),0)</f>
        <v>0.7777045686</v>
      </c>
      <c r="N2" s="3"/>
      <c r="O2" s="4"/>
      <c r="P2" s="5">
        <v>3.5</v>
      </c>
      <c r="Q2" s="6">
        <f t="shared" ref="Q2:Q11" si="4">IFERROR(-ln(1-(1/P2)),0)</f>
        <v>0.3364722366</v>
      </c>
    </row>
    <row r="3">
      <c r="A3" s="2" t="s">
        <v>5</v>
      </c>
      <c r="B3" s="7">
        <f t="shared" ref="B3:C3" si="2">-ln(B2)</f>
        <v>2.077325195</v>
      </c>
      <c r="C3" s="7">
        <f t="shared" si="2"/>
        <v>1.056</v>
      </c>
      <c r="D3" s="2" t="s">
        <v>9</v>
      </c>
      <c r="E3" s="1">
        <v>1.65</v>
      </c>
      <c r="F3" s="2" t="s">
        <v>10</v>
      </c>
      <c r="G3" s="8">
        <f>1/(1/G2+SUM(D37:H40))</f>
        <v>1.650810344</v>
      </c>
      <c r="H3" s="8">
        <f>1/(1/H2+SUM(M37:Q40))</f>
        <v>4.999620933</v>
      </c>
      <c r="J3" s="3"/>
      <c r="K3" s="4"/>
      <c r="L3" s="5">
        <v>1.9</v>
      </c>
      <c r="M3" s="6">
        <f t="shared" si="3"/>
        <v>0.7472144018</v>
      </c>
      <c r="N3" s="3"/>
      <c r="O3" s="4"/>
      <c r="P3" s="5">
        <v>8.0</v>
      </c>
      <c r="Q3" s="6">
        <f t="shared" si="4"/>
        <v>0.1335313926</v>
      </c>
    </row>
    <row r="4">
      <c r="A4" s="2" t="s">
        <v>11</v>
      </c>
      <c r="J4" s="3"/>
      <c r="K4" s="4"/>
      <c r="L4" s="5">
        <v>2.25</v>
      </c>
      <c r="M4" s="6">
        <f t="shared" si="3"/>
        <v>0.5877866649</v>
      </c>
      <c r="N4" s="3"/>
      <c r="O4" s="4"/>
      <c r="P4" s="5">
        <v>7.0</v>
      </c>
      <c r="Q4" s="6">
        <f t="shared" si="4"/>
        <v>0.1541506798</v>
      </c>
    </row>
    <row r="5">
      <c r="A5" s="2">
        <v>1.0</v>
      </c>
      <c r="B5" s="7">
        <f t="shared" ref="B5:C5" si="5">((B$3^$A5)/FACT($A5))*EXP(-B$3)</f>
        <v>0.2602157738</v>
      </c>
      <c r="C5" s="7">
        <f t="shared" si="5"/>
        <v>0.3673236958</v>
      </c>
      <c r="D5" s="2">
        <v>1.5</v>
      </c>
      <c r="E5" s="7">
        <f>1/(B2*(C2+C5)+B5*C2)</f>
        <v>5.552470591</v>
      </c>
      <c r="J5" s="3"/>
      <c r="K5" s="4"/>
      <c r="L5" s="5">
        <v>4.0</v>
      </c>
      <c r="M5" s="6">
        <f t="shared" si="3"/>
        <v>0.2876820725</v>
      </c>
      <c r="N5" s="3"/>
      <c r="O5" s="4"/>
      <c r="P5" s="5">
        <v>6.0</v>
      </c>
      <c r="Q5" s="6">
        <f t="shared" si="4"/>
        <v>0.1823215568</v>
      </c>
    </row>
    <row r="6">
      <c r="A6" s="2">
        <v>2.0</v>
      </c>
      <c r="B6" s="7">
        <f t="shared" ref="B6:C6" si="6">((B$3^$A6)/FACT($A6))*EXP(-B$3)</f>
        <v>0.2702763916</v>
      </c>
      <c r="C6" s="7">
        <f t="shared" si="6"/>
        <v>0.1939469114</v>
      </c>
      <c r="D6" s="2">
        <v>2.5</v>
      </c>
      <c r="E6" s="7">
        <f>1/(B2*(C2+C5+C6)+B5*(C2+C5)+B6*C2)</f>
        <v>2.538120763</v>
      </c>
      <c r="F6" s="2" t="s">
        <v>12</v>
      </c>
      <c r="J6" s="3"/>
      <c r="K6" s="4"/>
      <c r="L6" s="5">
        <v>5.0</v>
      </c>
      <c r="M6" s="6">
        <f t="shared" si="3"/>
        <v>0.2231435513</v>
      </c>
      <c r="N6" s="3"/>
      <c r="O6" s="4"/>
      <c r="P6" s="5">
        <v>15.0</v>
      </c>
      <c r="Q6" s="6">
        <f t="shared" si="4"/>
        <v>0.06899287149</v>
      </c>
    </row>
    <row r="7">
      <c r="A7" s="2">
        <v>3.0</v>
      </c>
      <c r="B7" s="7">
        <f t="shared" ref="B7:C7" si="7">((B$3^$A7)/FACT($A7))*EXP(-B$3)</f>
        <v>0.1871506526</v>
      </c>
      <c r="C7" s="7">
        <f t="shared" si="7"/>
        <v>0.06826931281</v>
      </c>
      <c r="D7" s="2">
        <v>3.5</v>
      </c>
      <c r="E7" s="7">
        <f>1/(B2*(C2+C5+C6+C7)+B5*(C2+C5+C6)+B6*(C2+C5)+B7*C2)</f>
        <v>1.61972093</v>
      </c>
      <c r="F7" s="7" t="str">
        <f>B1</f>
        <v>fribourg</v>
      </c>
      <c r="G7" s="2" t="s">
        <v>13</v>
      </c>
      <c r="H7" s="7" t="str">
        <f>C1</f>
        <v>heidenheim</v>
      </c>
      <c r="J7" s="3"/>
      <c r="K7" s="4"/>
      <c r="L7" s="5">
        <v>6.0</v>
      </c>
      <c r="M7" s="6">
        <f t="shared" si="3"/>
        <v>0.1823215568</v>
      </c>
      <c r="N7" s="3"/>
      <c r="O7" s="4"/>
      <c r="P7" s="5">
        <v>15.0</v>
      </c>
      <c r="Q7" s="6">
        <f t="shared" si="4"/>
        <v>0.06899287149</v>
      </c>
    </row>
    <row r="8">
      <c r="A8" s="2">
        <v>4.0</v>
      </c>
      <c r="B8" s="7">
        <f t="shared" ref="B8:C8" si="8">((B$3^$A8)/FACT($A8))*EXP(-B$3)</f>
        <v>0.0971931915</v>
      </c>
      <c r="C8" s="7">
        <f t="shared" si="8"/>
        <v>0.01802309858</v>
      </c>
      <c r="D8" s="2">
        <v>4.5</v>
      </c>
      <c r="E8" s="7">
        <f>1/(B2*(C2+C5+C6+C7+C8)+B5*(C2+C5+C6+C7)+B6*(C2+C5+C6)+B7*(C2+C5)+B8*C2)</f>
        <v>1.262012837</v>
      </c>
      <c r="F8" s="7">
        <f>B5*C2+B6*(C5+C2)+B7*(C6+C5+C2)+B8*(C7+C6+C5+C2)+B9*(C8+C7+C6+C5+C2)+B10*(C9+C8+C7+C6+C5+C2)+B11*(C10+C9+C8+C7+C6+C5+C2)+B12*(C11+C10+C9+C8+C7+C6+C5+C2)</f>
        <v>0.6083343817</v>
      </c>
      <c r="G8" s="7">
        <f>B2*C2+B5*C5+B6*C6+B7*C7+B8*C8+B9*C9+B10*C10+B11*C11+B12*C12</f>
        <v>0.2062672353</v>
      </c>
      <c r="H8" s="7">
        <f>C5*B2+C6*(B5+B2)+C7*(B6+B5+B2)+C8*(B7+B6+B5+B2)+C9*(B8+B7+B6+B5+B2)+C10*(B9+B8+B7+B6+B5+B2)+C11*(B10+B9+B7+B8+B6+B5+B2)</f>
        <v>0.1850712385</v>
      </c>
      <c r="J8" s="3"/>
      <c r="K8" s="4"/>
      <c r="L8" s="5">
        <v>8.0</v>
      </c>
      <c r="M8" s="6">
        <f t="shared" si="3"/>
        <v>0.1335313926</v>
      </c>
      <c r="N8" s="3"/>
      <c r="O8" s="4"/>
      <c r="P8" s="5">
        <v>8.0</v>
      </c>
      <c r="Q8" s="6">
        <f t="shared" si="4"/>
        <v>0.1335313926</v>
      </c>
    </row>
    <row r="9">
      <c r="A9" s="2">
        <v>5.0</v>
      </c>
      <c r="B9" s="7">
        <f t="shared" ref="B9:C9" si="9">((B$3^$A9)/FACT($A9))*EXP(-B$3)</f>
        <v>0.0403803731</v>
      </c>
      <c r="C9" s="7">
        <f t="shared" si="9"/>
        <v>0.00380647842</v>
      </c>
      <c r="F9" s="9">
        <f t="shared" ref="F9:H9" si="10">1/F8</f>
        <v>1.643832783</v>
      </c>
      <c r="G9" s="9">
        <f t="shared" si="10"/>
        <v>4.848079718</v>
      </c>
      <c r="H9" s="9">
        <f t="shared" si="10"/>
        <v>5.403324731</v>
      </c>
      <c r="J9" s="3"/>
      <c r="K9" s="4"/>
      <c r="L9" s="5">
        <v>15.0</v>
      </c>
      <c r="M9" s="6">
        <f t="shared" si="3"/>
        <v>0.06899287149</v>
      </c>
      <c r="N9" s="3"/>
      <c r="O9" s="4"/>
      <c r="P9" s="5">
        <v>10.0</v>
      </c>
      <c r="Q9" s="6">
        <f t="shared" si="4"/>
        <v>0.1053605157</v>
      </c>
    </row>
    <row r="10">
      <c r="A10" s="2">
        <v>6.0</v>
      </c>
      <c r="B10" s="7">
        <f t="shared" ref="B10:C10" si="11">((B$3^$A10)/FACT($A10))*EXP(-B$3)</f>
        <v>0.01398052774</v>
      </c>
      <c r="C10" s="7">
        <f t="shared" si="11"/>
        <v>0.000669940202</v>
      </c>
      <c r="J10" s="3"/>
      <c r="K10" s="4"/>
      <c r="L10" s="5">
        <v>15.0</v>
      </c>
      <c r="M10" s="6">
        <f t="shared" si="3"/>
        <v>0.06899287149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0.004148871789</v>
      </c>
      <c r="C11" s="7">
        <f t="shared" si="12"/>
        <v>0.0001010652648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20.0</v>
      </c>
      <c r="Q11" s="6">
        <f t="shared" si="4"/>
        <v>0.05129329439</v>
      </c>
    </row>
    <row r="12">
      <c r="A12" s="2">
        <v>8.0</v>
      </c>
      <c r="B12" s="7">
        <f t="shared" ref="B12:C12" si="13">((B$3^$A12)/FACT($A12))*EXP(-B$3)</f>
        <v>0.001077319487</v>
      </c>
      <c r="C12" s="7">
        <f t="shared" si="13"/>
        <v>0.00001334061495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heidenheim</v>
      </c>
      <c r="J13" s="3"/>
      <c r="K13" s="3"/>
      <c r="L13" s="3" t="s">
        <v>14</v>
      </c>
      <c r="M13" s="6">
        <f>SUM(M2:M11)</f>
        <v>3.146362823</v>
      </c>
      <c r="N13" s="3"/>
      <c r="O13" s="3"/>
      <c r="P13" s="3" t="s">
        <v>14</v>
      </c>
      <c r="Q13" s="6">
        <f>SUM(Q2:Q11)</f>
        <v>1.303639683</v>
      </c>
    </row>
    <row r="14">
      <c r="A14" s="7" t="str">
        <f>B1</f>
        <v>fribourg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2.939384209</v>
      </c>
      <c r="N14" s="3"/>
      <c r="O14" s="3"/>
      <c r="P14" s="3" t="s">
        <v>15</v>
      </c>
      <c r="Q14" s="6">
        <f>SUM(Q2:Q8)</f>
        <v>1.077993001</v>
      </c>
    </row>
    <row r="15">
      <c r="A15" s="2">
        <v>0.0</v>
      </c>
      <c r="B15" s="7">
        <f>B2*$C$2</f>
        <v>0.04357266846</v>
      </c>
      <c r="C15" s="7">
        <f>C5*B2</f>
        <v>0.0460127379</v>
      </c>
      <c r="D15" s="7">
        <f>C6*B2</f>
        <v>0.02429472561</v>
      </c>
      <c r="E15" s="7">
        <f>C7*B2</f>
        <v>0.008551743415</v>
      </c>
      <c r="F15" s="7">
        <f>C8*B2</f>
        <v>0.002257660261</v>
      </c>
      <c r="G15" s="7">
        <f>C9*B2</f>
        <v>0.0004768178472</v>
      </c>
      <c r="H15" s="7">
        <f>$C$10*B2</f>
        <v>0.00008391994111</v>
      </c>
    </row>
    <row r="16">
      <c r="A16" s="2">
        <v>1.0</v>
      </c>
      <c r="B16" s="7">
        <f t="shared" ref="B16:B21" si="14">B5*$C$2</f>
        <v>0.09051460202</v>
      </c>
      <c r="C16" s="7">
        <f t="shared" ref="C16:C21" si="15">$C$5*B5</f>
        <v>0.09558341974</v>
      </c>
      <c r="D16" s="7">
        <f t="shared" ref="D16:D21" si="16">$C$6*B5</f>
        <v>0.05046804562</v>
      </c>
      <c r="E16" s="7">
        <f t="shared" ref="E16:E21" si="17">$C$7*B5</f>
        <v>0.01776475206</v>
      </c>
      <c r="F16" s="7">
        <f t="shared" ref="F16:F21" si="18">$C$8*B5</f>
        <v>0.004689894544</v>
      </c>
      <c r="G16" s="7">
        <f t="shared" ref="G16:G21" si="19">$C$9*B5</f>
        <v>0.0009905057276</v>
      </c>
      <c r="H16" s="7">
        <f t="shared" ref="H16:H21" si="20">$C$10*B5</f>
        <v>0.0001743290081</v>
      </c>
    </row>
    <row r="17">
      <c r="A17" s="2">
        <v>2.0</v>
      </c>
      <c r="B17" s="7">
        <f t="shared" si="14"/>
        <v>0.09401413166</v>
      </c>
      <c r="C17" s="7">
        <f t="shared" si="15"/>
        <v>0.09927892304</v>
      </c>
      <c r="D17" s="7">
        <f t="shared" si="16"/>
        <v>0.05241927136</v>
      </c>
      <c r="E17" s="7">
        <f t="shared" si="17"/>
        <v>0.01845158352</v>
      </c>
      <c r="F17" s="7">
        <f t="shared" si="18"/>
        <v>0.004871218049</v>
      </c>
      <c r="G17" s="7">
        <f t="shared" si="19"/>
        <v>0.001028801252</v>
      </c>
      <c r="H17" s="7">
        <f t="shared" si="20"/>
        <v>0.0001810690204</v>
      </c>
    </row>
    <row r="18">
      <c r="A18" s="2">
        <v>3.0</v>
      </c>
      <c r="B18" s="7">
        <f t="shared" si="14"/>
        <v>0.06509930814</v>
      </c>
      <c r="C18" s="7">
        <f t="shared" si="15"/>
        <v>0.0687448694</v>
      </c>
      <c r="D18" s="7">
        <f t="shared" si="16"/>
        <v>0.03629729104</v>
      </c>
      <c r="E18" s="7">
        <f t="shared" si="17"/>
        <v>0.01277664645</v>
      </c>
      <c r="F18" s="7">
        <f t="shared" si="18"/>
        <v>0.003373034662</v>
      </c>
      <c r="G18" s="7">
        <f t="shared" si="19"/>
        <v>0.0007123849206</v>
      </c>
      <c r="H18" s="7">
        <f t="shared" si="20"/>
        <v>0.000125379746</v>
      </c>
    </row>
    <row r="19">
      <c r="A19" s="2">
        <v>4.0</v>
      </c>
      <c r="B19" s="7">
        <f t="shared" si="14"/>
        <v>0.03380810825</v>
      </c>
      <c r="C19" s="7">
        <f t="shared" si="15"/>
        <v>0.03570136231</v>
      </c>
      <c r="D19" s="7">
        <f t="shared" si="16"/>
        <v>0.0188503193</v>
      </c>
      <c r="E19" s="7">
        <f t="shared" si="17"/>
        <v>0.006635312394</v>
      </c>
      <c r="F19" s="7">
        <f t="shared" si="18"/>
        <v>0.001751722472</v>
      </c>
      <c r="G19" s="7">
        <f t="shared" si="19"/>
        <v>0.0003699637861</v>
      </c>
      <c r="H19" s="7">
        <f t="shared" si="20"/>
        <v>0.00006511362635</v>
      </c>
    </row>
    <row r="20">
      <c r="A20" s="2">
        <v>5.0</v>
      </c>
      <c r="B20" s="7">
        <f t="shared" si="14"/>
        <v>0.01404608701</v>
      </c>
      <c r="C20" s="7">
        <f t="shared" si="15"/>
        <v>0.01483266789</v>
      </c>
      <c r="D20" s="7">
        <f t="shared" si="16"/>
        <v>0.007831648645</v>
      </c>
      <c r="E20" s="7">
        <f t="shared" si="17"/>
        <v>0.002756740323</v>
      </c>
      <c r="F20" s="7">
        <f t="shared" si="18"/>
        <v>0.0007277794452</v>
      </c>
      <c r="G20" s="7">
        <f t="shared" si="19"/>
        <v>0.0001537070188</v>
      </c>
      <c r="H20" s="7">
        <f t="shared" si="20"/>
        <v>0.00002705243531</v>
      </c>
    </row>
    <row r="21">
      <c r="A21" s="2">
        <v>6.0</v>
      </c>
      <c r="B21" s="7">
        <f t="shared" si="14"/>
        <v>0.004863048408</v>
      </c>
      <c r="C21" s="7">
        <f t="shared" si="15"/>
        <v>0.005135379119</v>
      </c>
      <c r="D21" s="7">
        <f t="shared" si="16"/>
        <v>0.002711480175</v>
      </c>
      <c r="E21" s="7">
        <f t="shared" si="17"/>
        <v>0.0009544410216</v>
      </c>
      <c r="F21" s="7">
        <f t="shared" si="18"/>
        <v>0.0002519724297</v>
      </c>
      <c r="G21" s="7">
        <f t="shared" si="19"/>
        <v>0.00005321657715</v>
      </c>
      <c r="H21" s="7">
        <f t="shared" si="20"/>
        <v>0.000009366117579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0.0003747395603</v>
      </c>
      <c r="C25" s="10">
        <f>C15*B12</f>
        <v>0.0000495704192</v>
      </c>
      <c r="D25" s="10">
        <f>C16*B12</f>
        <v>0.0001029738807</v>
      </c>
      <c r="E25" s="10">
        <f>C17*B12</f>
        <v>0.0001069551185</v>
      </c>
      <c r="F25" s="10">
        <f>C18*B12</f>
        <v>0.00007406018746</v>
      </c>
      <c r="G25" s="10">
        <f>C19*B12</f>
        <v>0.00003846177334</v>
      </c>
      <c r="H25" s="10">
        <f>$C$10*B12</f>
        <v>0.000000721739635</v>
      </c>
    </row>
    <row r="26">
      <c r="A26" s="2">
        <v>1.0</v>
      </c>
      <c r="B26" s="10">
        <f t="shared" ref="B26:B31" si="21">B15*$C$2</f>
        <v>0.01515650911</v>
      </c>
      <c r="C26" s="10">
        <f t="shared" ref="C26:C31" si="22">$C$5*B15</f>
        <v>0.01600527362</v>
      </c>
      <c r="D26" s="10">
        <f>$C$6*B15</f>
        <v>0.008450784469</v>
      </c>
      <c r="E26" s="10">
        <f>$C$7*B15</f>
        <v>0.002974676133</v>
      </c>
      <c r="F26" s="10">
        <f>$C$8*B15</f>
        <v>0.0007853144992</v>
      </c>
      <c r="G26" s="10">
        <f>$C$9*B15</f>
        <v>0.0001658584222</v>
      </c>
      <c r="H26" s="10">
        <f>$C$10*B15</f>
        <v>0.00002919108231</v>
      </c>
    </row>
    <row r="27">
      <c r="A27" s="2">
        <v>2.0</v>
      </c>
      <c r="B27" s="10">
        <f t="shared" si="21"/>
        <v>0.03148499824</v>
      </c>
      <c r="C27" s="10">
        <f t="shared" si="22"/>
        <v>0.03324815814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0.03270229006</v>
      </c>
      <c r="C28" s="10">
        <f t="shared" si="22"/>
        <v>0.0345336183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0.02264443036</v>
      </c>
      <c r="C29" s="10">
        <f t="shared" si="22"/>
        <v>0.02391251846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0.01175996143</v>
      </c>
      <c r="C30" s="10">
        <f t="shared" si="22"/>
        <v>0.01241851927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0.004885852835</v>
      </c>
      <c r="C31" s="10">
        <f t="shared" si="22"/>
        <v>0.005159460594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fribourg</v>
      </c>
      <c r="J33" s="2" t="s">
        <v>17</v>
      </c>
      <c r="K33" s="7" t="str">
        <f>B13</f>
        <v>heidenheim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0.0001303510608</v>
      </c>
      <c r="C36" s="10">
        <f t="shared" ref="C36:C41" si="24">$C$5*B25</f>
        <v>0.0001376507203</v>
      </c>
      <c r="D36" s="10">
        <f>$C$6*B25</f>
        <v>0.00007267958029</v>
      </c>
      <c r="E36" s="10">
        <f>$C$7*B25</f>
        <v>0.00002558321226</v>
      </c>
      <c r="F36" s="10">
        <f>$C$8*B25</f>
        <v>0.000006753968038</v>
      </c>
      <c r="G36" s="10">
        <f>$C$9*B25</f>
        <v>0.00000142643805</v>
      </c>
      <c r="H36" s="10">
        <f>$C$10*B25</f>
        <v>0.0000002510530967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0.005272106951</v>
      </c>
      <c r="C37" s="10">
        <f t="shared" si="24"/>
        <v>0.005567344941</v>
      </c>
      <c r="D37" s="7">
        <f t="shared" ref="D37:H37" si="25">D27*D17</f>
        <v>0.008736545227</v>
      </c>
      <c r="E37" s="7">
        <f t="shared" si="25"/>
        <v>0.001845158352</v>
      </c>
      <c r="F37" s="7">
        <f t="shared" si="25"/>
        <v>0.00032474787</v>
      </c>
      <c r="G37" s="7">
        <f t="shared" si="25"/>
        <v>0.00004899053581</v>
      </c>
      <c r="H37" s="7">
        <f t="shared" si="25"/>
        <v>0.000006466750727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0.008736545227</v>
      </c>
      <c r="N37" s="7">
        <f>E27*D18</f>
        <v>0.003629729104</v>
      </c>
      <c r="O37" s="7">
        <f>F27*D19</f>
        <v>0.001256687953</v>
      </c>
      <c r="P37" s="7">
        <f>G27*D20</f>
        <v>0.0003729356497</v>
      </c>
      <c r="Q37" s="7">
        <f>H27*D21</f>
        <v>0.00009683857768</v>
      </c>
    </row>
    <row r="38">
      <c r="A38" s="2">
        <v>3.0</v>
      </c>
      <c r="B38" s="10">
        <f t="shared" si="23"/>
        <v>0.0109518806</v>
      </c>
      <c r="C38" s="10">
        <f t="shared" si="24"/>
        <v>0.01156518592</v>
      </c>
      <c r="D38" s="10"/>
      <c r="E38" s="7">
        <f t="shared" ref="E38:H38" si="28">E28*E18</f>
        <v>0.003832993934</v>
      </c>
      <c r="F38" s="7">
        <f t="shared" si="28"/>
        <v>0.0006746069324</v>
      </c>
      <c r="G38" s="7">
        <f t="shared" si="28"/>
        <v>0.0001017692744</v>
      </c>
      <c r="H38" s="7">
        <f t="shared" si="28"/>
        <v>0.00001343354422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0.003832993934</v>
      </c>
      <c r="O38" s="7">
        <f>F28*E19</f>
        <v>0.001327062479</v>
      </c>
      <c r="P38" s="7">
        <f>G28*E20</f>
        <v>0.0003938200461</v>
      </c>
      <c r="Q38" s="7">
        <f>H28*E21</f>
        <v>0.000102261538</v>
      </c>
    </row>
    <row r="39">
      <c r="A39" s="2">
        <v>4.0</v>
      </c>
      <c r="B39" s="10">
        <f t="shared" si="23"/>
        <v>0.01137530876</v>
      </c>
      <c r="C39" s="10">
        <f t="shared" si="24"/>
        <v>0.01201232605</v>
      </c>
      <c r="D39" s="10"/>
      <c r="E39" s="10"/>
      <c r="F39" s="7">
        <f t="shared" ref="F39:H39" si="29">F29*F19</f>
        <v>0.0007006889888</v>
      </c>
      <c r="G39" s="7">
        <f t="shared" si="29"/>
        <v>0.0001057039389</v>
      </c>
      <c r="H39" s="7">
        <f t="shared" si="29"/>
        <v>0.00001395291993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0.0007006889888</v>
      </c>
      <c r="P39" s="7">
        <f>G29*F20</f>
        <v>0.0002079369844</v>
      </c>
      <c r="Q39" s="7">
        <f>H29*F21</f>
        <v>0.00005399409208</v>
      </c>
    </row>
    <row r="40">
      <c r="A40" s="2">
        <v>5.0</v>
      </c>
      <c r="B40" s="10">
        <f t="shared" si="23"/>
        <v>0.007876738494</v>
      </c>
      <c r="C40" s="10">
        <f t="shared" si="24"/>
        <v>0.00831783585</v>
      </c>
      <c r="D40" s="10"/>
      <c r="E40" s="10"/>
      <c r="F40" s="10"/>
      <c r="G40" s="7">
        <f t="shared" ref="G40:H40" si="30">G30*G20</f>
        <v>0.00007319381849</v>
      </c>
      <c r="H40" s="7">
        <f t="shared" si="30"/>
        <v>0.000009661584041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0.00007319381849</v>
      </c>
      <c r="Q40" s="7">
        <f>H30*G21</f>
        <v>0.00001900592041</v>
      </c>
    </row>
    <row r="41">
      <c r="A41" s="2">
        <v>6.0</v>
      </c>
      <c r="B41" s="10">
        <f t="shared" si="23"/>
        <v>0.004090636833</v>
      </c>
      <c r="C41" s="10">
        <f t="shared" si="24"/>
        <v>0.004319712495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36</v>
      </c>
      <c r="C1" s="1" t="s">
        <v>37</v>
      </c>
      <c r="D1" s="2" t="s">
        <v>2</v>
      </c>
      <c r="G1" s="2" t="str">
        <f t="shared" ref="G1:H1" si="1">B1</f>
        <v>aston villa</v>
      </c>
      <c r="H1" s="2" t="str">
        <f t="shared" si="1"/>
        <v>sunderland</v>
      </c>
      <c r="J1" s="3" t="str">
        <f>G1</f>
        <v>aston villa</v>
      </c>
      <c r="K1" s="3" t="s">
        <v>3</v>
      </c>
      <c r="L1" s="3" t="s">
        <v>4</v>
      </c>
      <c r="M1" s="3" t="s">
        <v>5</v>
      </c>
      <c r="N1" s="3" t="str">
        <f>H1</f>
        <v>sunderland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0.1758921462218459</v>
      </c>
      <c r="C2" s="1">
        <v>0.40413754542145125</v>
      </c>
      <c r="D2" s="2" t="s">
        <v>7</v>
      </c>
      <c r="E2" s="1">
        <v>2.5</v>
      </c>
      <c r="F2" s="2" t="s">
        <v>8</v>
      </c>
      <c r="G2" s="1">
        <v>1.82</v>
      </c>
      <c r="H2" s="1">
        <v>5.33</v>
      </c>
      <c r="J2" s="3"/>
      <c r="K2" s="4"/>
      <c r="L2" s="5">
        <v>2.4</v>
      </c>
      <c r="M2" s="6">
        <f t="shared" ref="M2:M11" si="3">IFERROR(-ln(1-(1/L2)),0)</f>
        <v>0.5389965007</v>
      </c>
      <c r="N2" s="3"/>
      <c r="O2" s="4"/>
      <c r="P2" s="5">
        <v>3.25</v>
      </c>
      <c r="Q2" s="6">
        <f t="shared" ref="Q2:Q11" si="4">IFERROR(-ln(1-(1/P2)),0)</f>
        <v>0.3677247801</v>
      </c>
    </row>
    <row r="3">
      <c r="A3" s="2" t="s">
        <v>5</v>
      </c>
      <c r="B3" s="7">
        <f t="shared" ref="B3:C3" si="2">-ln(B2)</f>
        <v>1.737884277</v>
      </c>
      <c r="C3" s="7">
        <f t="shared" si="2"/>
        <v>0.906</v>
      </c>
      <c r="D3" s="2" t="s">
        <v>9</v>
      </c>
      <c r="E3" s="1">
        <v>2.03</v>
      </c>
      <c r="F3" s="2" t="s">
        <v>10</v>
      </c>
      <c r="G3" s="8">
        <f>1/(1/G2+SUM(D37:H40))</f>
        <v>1.781140819</v>
      </c>
      <c r="H3" s="8">
        <f>1/(1/H2+SUM(M37:Q40))</f>
        <v>4.948483674</v>
      </c>
      <c r="J3" s="3"/>
      <c r="K3" s="4"/>
      <c r="L3" s="5">
        <v>3.75</v>
      </c>
      <c r="M3" s="6">
        <f t="shared" si="3"/>
        <v>0.3101549283</v>
      </c>
      <c r="N3" s="3"/>
      <c r="O3" s="4"/>
      <c r="P3" s="5">
        <v>2.4</v>
      </c>
      <c r="Q3" s="6">
        <f t="shared" si="4"/>
        <v>0.5389965007</v>
      </c>
    </row>
    <row r="4">
      <c r="A4" s="2" t="s">
        <v>11</v>
      </c>
      <c r="J4" s="3"/>
      <c r="K4" s="4"/>
      <c r="L4" s="5">
        <v>5.0</v>
      </c>
      <c r="M4" s="6">
        <f t="shared" si="3"/>
        <v>0.2231435513</v>
      </c>
      <c r="N4" s="3"/>
      <c r="O4" s="4"/>
      <c r="P4" s="5">
        <v>2.75</v>
      </c>
      <c r="Q4" s="6">
        <f t="shared" si="4"/>
        <v>0.4519851237</v>
      </c>
    </row>
    <row r="5">
      <c r="A5" s="2">
        <v>1.0</v>
      </c>
      <c r="B5" s="7">
        <f t="shared" ref="B5:C5" si="5">((B$3^$A5)/FACT($A5))*EXP(-B$3)</f>
        <v>0.3056801954</v>
      </c>
      <c r="C5" s="7">
        <f t="shared" si="5"/>
        <v>0.3661486162</v>
      </c>
      <c r="D5" s="2">
        <v>1.5</v>
      </c>
      <c r="E5" s="7">
        <f>1/(B2*(C2+C5)+B5*C2)</f>
        <v>3.86064418</v>
      </c>
      <c r="J5" s="3"/>
      <c r="K5" s="4"/>
      <c r="L5" s="5">
        <v>8.0</v>
      </c>
      <c r="M5" s="6">
        <f t="shared" si="3"/>
        <v>0.1335313926</v>
      </c>
      <c r="N5" s="3"/>
      <c r="O5" s="4"/>
      <c r="P5" s="5">
        <v>3.75</v>
      </c>
      <c r="Q5" s="6">
        <f t="shared" si="4"/>
        <v>0.3101549283</v>
      </c>
    </row>
    <row r="6">
      <c r="A6" s="2">
        <v>2.0</v>
      </c>
      <c r="B6" s="7">
        <f t="shared" ref="B6:C6" si="6">((B$3^$A6)/FACT($A6))*EXP(-B$3)</f>
        <v>0.2656184028</v>
      </c>
      <c r="C6" s="7">
        <f t="shared" si="6"/>
        <v>0.1658653231</v>
      </c>
      <c r="D6" s="2">
        <v>2.5</v>
      </c>
      <c r="E6" s="7">
        <f>1/(B2*(C2+C5+C6)+B5*(C2+C5)+B6*C2)</f>
        <v>1.970562603</v>
      </c>
      <c r="F6" s="2" t="s">
        <v>12</v>
      </c>
      <c r="J6" s="3"/>
      <c r="K6" s="4"/>
      <c r="L6" s="5">
        <v>3.5</v>
      </c>
      <c r="M6" s="6">
        <f t="shared" si="3"/>
        <v>0.3364722366</v>
      </c>
      <c r="N6" s="3"/>
      <c r="O6" s="4"/>
      <c r="P6" s="5">
        <v>11.0</v>
      </c>
      <c r="Q6" s="6">
        <f t="shared" si="4"/>
        <v>0.0953101798</v>
      </c>
    </row>
    <row r="7">
      <c r="A7" s="2">
        <v>3.0</v>
      </c>
      <c r="B7" s="7">
        <f t="shared" ref="B7:C7" si="7">((B$3^$A7)/FACT($A7))*EXP(-B$3)</f>
        <v>0.1538713486</v>
      </c>
      <c r="C7" s="7">
        <f t="shared" si="7"/>
        <v>0.05009132758</v>
      </c>
      <c r="D7" s="2">
        <v>3.5</v>
      </c>
      <c r="E7" s="7">
        <f>1/(B2*(C2+C5+C6+C7)+B5*(C2+C5+C6)+B6*(C2+C5)+B7*C2)</f>
        <v>1.376608958</v>
      </c>
      <c r="F7" s="7" t="str">
        <f>B1</f>
        <v>aston villa</v>
      </c>
      <c r="G7" s="2" t="s">
        <v>13</v>
      </c>
      <c r="H7" s="7" t="str">
        <f>C1</f>
        <v>sunderland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12.0</v>
      </c>
      <c r="Q7" s="6">
        <f t="shared" si="4"/>
        <v>0.08701137699</v>
      </c>
    </row>
    <row r="8">
      <c r="A8" s="2">
        <v>4.0</v>
      </c>
      <c r="B8" s="7">
        <f t="shared" ref="B8:C8" si="8">((B$3^$A8)/FACT($A8))*EXP(-B$3)</f>
        <v>0.06685264939</v>
      </c>
      <c r="C8" s="7">
        <f t="shared" si="8"/>
        <v>0.0113456857</v>
      </c>
      <c r="D8" s="2">
        <v>4.5</v>
      </c>
      <c r="E8" s="7">
        <f>1/(B2*(C2+C5+C6+C7+C8)+B5*(C2+C5+C6+C7)+B6*(C2+C5+C6)+B7*(C2+C5)+B8*C2)</f>
        <v>1.147915085</v>
      </c>
      <c r="F8" s="7">
        <f>B5*C2+B6*(C5+C2)+B7*(C6+C5+C2)+B8*(C7+C6+C5+C2)+B9*(C8+C7+C6+C5+C2)+B10*(C9+C8+C7+C6+C5+C2)+B11*(C10+C9+C8+C7+C6+C5+C2)+B12*(C11+C10+C9+C8+C7+C6+C5+C2)</f>
        <v>0.5700610925</v>
      </c>
      <c r="G8" s="7">
        <f>B2*C2+B5*C5+B6*C6+B7*C7+B8*C8+B9*C9+B10*C10+B11*C11+B12*C12</f>
        <v>0.2355819207</v>
      </c>
      <c r="H8" s="7">
        <f>C5*B2+C6*(B5+B2)+C7*(B6+B5+B2)+C8*(B7+B6+B5+B2)+C9*(B8+B7+B6+B5+B2)+C10*(B9+B8+B7+B6+B5+B2)+C11*(B10+B9+B7+B8+B6+B5+B2)</f>
        <v>0.194267416</v>
      </c>
      <c r="J8" s="3"/>
      <c r="K8" s="4"/>
      <c r="L8" s="5">
        <v>6.0</v>
      </c>
      <c r="M8" s="6">
        <f t="shared" si="3"/>
        <v>0.1823215568</v>
      </c>
      <c r="N8" s="3"/>
      <c r="O8" s="4"/>
      <c r="P8" s="5">
        <v>10.5</v>
      </c>
      <c r="Q8" s="6">
        <f t="shared" si="4"/>
        <v>0.1000834586</v>
      </c>
    </row>
    <row r="9">
      <c r="A9" s="2">
        <v>5.0</v>
      </c>
      <c r="B9" s="7">
        <f t="shared" ref="B9:C9" si="9">((B$3^$A9)/FACT($A9))*EXP(-B$3)</f>
        <v>0.02323643365</v>
      </c>
      <c r="C9" s="7">
        <f t="shared" si="9"/>
        <v>0.002055838248</v>
      </c>
      <c r="F9" s="9">
        <f t="shared" ref="F9:H9" si="10">1/F8</f>
        <v>1.75419795</v>
      </c>
      <c r="G9" s="9">
        <f t="shared" si="10"/>
        <v>4.244807908</v>
      </c>
      <c r="H9" s="9">
        <f t="shared" si="10"/>
        <v>5.147543631</v>
      </c>
      <c r="J9" s="3"/>
      <c r="K9" s="4"/>
      <c r="L9" s="5">
        <v>5.0</v>
      </c>
      <c r="M9" s="6">
        <f t="shared" si="3"/>
        <v>0.2231435513</v>
      </c>
      <c r="N9" s="3"/>
      <c r="O9" s="4"/>
      <c r="P9" s="5">
        <v>15.0</v>
      </c>
      <c r="Q9" s="6">
        <f t="shared" si="4"/>
        <v>0.06899287149</v>
      </c>
    </row>
    <row r="10">
      <c r="A10" s="2">
        <v>6.0</v>
      </c>
      <c r="B10" s="7">
        <f t="shared" ref="B10:C10" si="11">((B$3^$A10)/FACT($A10))*EXP(-B$3)</f>
        <v>0.006730372118</v>
      </c>
      <c r="C10" s="7">
        <f t="shared" si="11"/>
        <v>0.0003104315755</v>
      </c>
      <c r="J10" s="3"/>
      <c r="K10" s="4"/>
      <c r="L10" s="5">
        <v>12.0</v>
      </c>
      <c r="M10" s="6">
        <f t="shared" si="3"/>
        <v>0.08701137699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0.001670943983</v>
      </c>
      <c r="C11" s="7">
        <f t="shared" si="12"/>
        <v>0.00004017871534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12.5</v>
      </c>
      <c r="Q11" s="6">
        <f t="shared" si="4"/>
        <v>0.08338160894</v>
      </c>
    </row>
    <row r="12">
      <c r="A12" s="2">
        <v>8.0</v>
      </c>
      <c r="B12" s="7">
        <f t="shared" ref="B12:C12" si="13">((B$3^$A12)/FACT($A12))*EXP(-B$3)</f>
        <v>0.0003629884097</v>
      </c>
      <c r="C12" s="7">
        <f t="shared" si="13"/>
        <v>0.000004550239513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sunderland</v>
      </c>
      <c r="J13" s="3"/>
      <c r="K13" s="3"/>
      <c r="L13" s="3" t="s">
        <v>14</v>
      </c>
      <c r="M13" s="6">
        <f>SUM(M2:M11)</f>
        <v>2.209128482</v>
      </c>
      <c r="N13" s="3"/>
      <c r="O13" s="3"/>
      <c r="P13" s="3" t="s">
        <v>14</v>
      </c>
      <c r="Q13" s="6">
        <f>SUM(Q2:Q11)</f>
        <v>2.1726337</v>
      </c>
    </row>
    <row r="14">
      <c r="A14" s="7" t="str">
        <f>B1</f>
        <v>aston villa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1.829980682</v>
      </c>
      <c r="N14" s="3"/>
      <c r="O14" s="3"/>
      <c r="P14" s="3" t="s">
        <v>15</v>
      </c>
      <c r="Q14" s="6">
        <f>SUM(Q2:Q8)</f>
        <v>1.951266348</v>
      </c>
    </row>
    <row r="15">
      <c r="A15" s="2">
        <v>0.0</v>
      </c>
      <c r="B15" s="7">
        <f>B2*$C$2</f>
        <v>0.07108462023</v>
      </c>
      <c r="C15" s="7">
        <f>C5*B2</f>
        <v>0.06440266593</v>
      </c>
      <c r="D15" s="7">
        <f>C6*B2</f>
        <v>0.02917440767</v>
      </c>
      <c r="E15" s="7">
        <f>C7*B2</f>
        <v>0.008810671115</v>
      </c>
      <c r="F15" s="7">
        <f>C8*B2</f>
        <v>0.001995617008</v>
      </c>
      <c r="G15" s="7">
        <f>C9*B2</f>
        <v>0.0003616058018</v>
      </c>
      <c r="H15" s="7">
        <f>$C$10*B2</f>
        <v>0.00005460247607</v>
      </c>
    </row>
    <row r="16">
      <c r="A16" s="2">
        <v>1.0</v>
      </c>
      <c r="B16" s="7">
        <f t="shared" ref="B16:B21" si="14">B5*$C$2</f>
        <v>0.1235368439</v>
      </c>
      <c r="C16" s="7">
        <f t="shared" ref="C16:C21" si="15">$C$5*B5</f>
        <v>0.1119243805</v>
      </c>
      <c r="D16" s="7">
        <f t="shared" ref="D16:D21" si="16">$C$6*B5</f>
        <v>0.05070174438</v>
      </c>
      <c r="E16" s="7">
        <f t="shared" ref="E16:E21" si="17">$C$7*B5</f>
        <v>0.0153119268</v>
      </c>
      <c r="F16" s="7">
        <f t="shared" ref="F16:F21" si="18">$C$8*B5</f>
        <v>0.003468151421</v>
      </c>
      <c r="G16" s="7">
        <f t="shared" ref="G16:G21" si="19">$C$9*B5</f>
        <v>0.0006284290375</v>
      </c>
      <c r="H16" s="7">
        <f t="shared" ref="H16:H21" si="20">$C$10*B5</f>
        <v>0.00009489278466</v>
      </c>
    </row>
    <row r="17">
      <c r="A17" s="2">
        <v>2.0</v>
      </c>
      <c r="B17" s="7">
        <f t="shared" si="14"/>
        <v>0.1073463693</v>
      </c>
      <c r="C17" s="7">
        <f t="shared" si="15"/>
        <v>0.0972558106</v>
      </c>
      <c r="D17" s="7">
        <f t="shared" si="16"/>
        <v>0.0440568822</v>
      </c>
      <c r="E17" s="7">
        <f t="shared" si="17"/>
        <v>0.01330517842</v>
      </c>
      <c r="F17" s="7">
        <f t="shared" si="18"/>
        <v>0.003013622913</v>
      </c>
      <c r="G17" s="7">
        <f t="shared" si="19"/>
        <v>0.0005460684719</v>
      </c>
      <c r="H17" s="7">
        <f t="shared" si="20"/>
        <v>0.00008245633925</v>
      </c>
    </row>
    <row r="18">
      <c r="A18" s="2">
        <v>3.0</v>
      </c>
      <c r="B18" s="7">
        <f t="shared" si="14"/>
        <v>0.06218518915</v>
      </c>
      <c r="C18" s="7">
        <f t="shared" si="15"/>
        <v>0.05633978137</v>
      </c>
      <c r="D18" s="7">
        <f t="shared" si="16"/>
        <v>0.02552192096</v>
      </c>
      <c r="E18" s="7">
        <f t="shared" si="17"/>
        <v>0.00770762013</v>
      </c>
      <c r="F18" s="7">
        <f t="shared" si="18"/>
        <v>0.00174577596</v>
      </c>
      <c r="G18" s="7">
        <f t="shared" si="19"/>
        <v>0.0003163346039</v>
      </c>
      <c r="H18" s="7">
        <f t="shared" si="20"/>
        <v>0.00004776652518</v>
      </c>
    </row>
    <row r="19">
      <c r="A19" s="2">
        <v>4.0</v>
      </c>
      <c r="B19" s="7">
        <f t="shared" si="14"/>
        <v>0.02701766563</v>
      </c>
      <c r="C19" s="7">
        <f t="shared" si="15"/>
        <v>0.02447800506</v>
      </c>
      <c r="D19" s="7">
        <f t="shared" si="16"/>
        <v>0.01108853629</v>
      </c>
      <c r="E19" s="7">
        <f t="shared" si="17"/>
        <v>0.00334873796</v>
      </c>
      <c r="F19" s="7">
        <f t="shared" si="18"/>
        <v>0.000758489148</v>
      </c>
      <c r="G19" s="7">
        <f t="shared" si="19"/>
        <v>0.0001374382336</v>
      </c>
      <c r="H19" s="7">
        <f t="shared" si="20"/>
        <v>0.00002075317328</v>
      </c>
    </row>
    <row r="20">
      <c r="A20" s="2">
        <v>5.0</v>
      </c>
      <c r="B20" s="7">
        <f t="shared" si="14"/>
        <v>0.009390715261</v>
      </c>
      <c r="C20" s="7">
        <f t="shared" si="15"/>
        <v>0.008507988027</v>
      </c>
      <c r="D20" s="7">
        <f t="shared" si="16"/>
        <v>0.003854118576</v>
      </c>
      <c r="E20" s="7">
        <f t="shared" si="17"/>
        <v>0.00116394381</v>
      </c>
      <c r="F20" s="7">
        <f t="shared" si="18"/>
        <v>0.000263633273</v>
      </c>
      <c r="G20" s="7">
        <f t="shared" si="19"/>
        <v>0.00004777034906</v>
      </c>
      <c r="H20" s="7">
        <f t="shared" si="20"/>
        <v>0.000007213322708</v>
      </c>
    </row>
    <row r="21">
      <c r="A21" s="2">
        <v>6.0</v>
      </c>
      <c r="B21" s="7">
        <f t="shared" si="14"/>
        <v>0.002719996068</v>
      </c>
      <c r="C21" s="7">
        <f t="shared" si="15"/>
        <v>0.002464316437</v>
      </c>
      <c r="D21" s="7">
        <f t="shared" si="16"/>
        <v>0.001116335346</v>
      </c>
      <c r="E21" s="7">
        <f t="shared" si="17"/>
        <v>0.0003371332745</v>
      </c>
      <c r="F21" s="7">
        <f t="shared" si="18"/>
        <v>0.00007636068668</v>
      </c>
      <c r="G21" s="7">
        <f t="shared" si="19"/>
        <v>0.00001383655643</v>
      </c>
      <c r="H21" s="7">
        <f t="shared" si="20"/>
        <v>0.00000208932002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0.0001466972449</v>
      </c>
      <c r="C25" s="10">
        <f>C15*B12</f>
        <v>0.00002337742128</v>
      </c>
      <c r="D25" s="10">
        <f>C16*B12</f>
        <v>0.00004062725289</v>
      </c>
      <c r="E25" s="10">
        <f>C17*B12</f>
        <v>0.00003530273202</v>
      </c>
      <c r="F25" s="10">
        <f>C18*B12</f>
        <v>0.00002045068764</v>
      </c>
      <c r="G25" s="10">
        <f>C19*B12</f>
        <v>0.000008885232128</v>
      </c>
      <c r="H25" s="10">
        <f>$C$10*B12</f>
        <v>0.0000001126830639</v>
      </c>
    </row>
    <row r="26">
      <c r="A26" s="2">
        <v>1.0</v>
      </c>
      <c r="B26" s="10">
        <f t="shared" ref="B26:B31" si="21">B15*$C$2</f>
        <v>0.02872796394</v>
      </c>
      <c r="C26" s="10">
        <f t="shared" ref="C26:C31" si="22">$C$5*B15</f>
        <v>0.02602753533</v>
      </c>
      <c r="D26" s="10">
        <f>$C$6*B15</f>
        <v>0.0117904735</v>
      </c>
      <c r="E26" s="10">
        <f>$C$7*B15</f>
        <v>0.003560722998</v>
      </c>
      <c r="F26" s="10">
        <f>$C$8*B15</f>
        <v>0.0008065037591</v>
      </c>
      <c r="G26" s="10">
        <f>$C$9*B15</f>
        <v>0.0001461384811</v>
      </c>
      <c r="H26" s="10">
        <f>$C$10*B15</f>
        <v>0.00002206691065</v>
      </c>
    </row>
    <row r="27">
      <c r="A27" s="2">
        <v>2.0</v>
      </c>
      <c r="B27" s="10">
        <f t="shared" si="21"/>
        <v>0.04992587685</v>
      </c>
      <c r="C27" s="10">
        <f t="shared" si="22"/>
        <v>0.04523284442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0.0433826982</v>
      </c>
      <c r="C28" s="10">
        <f t="shared" si="22"/>
        <v>0.03930472457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0.02513136971</v>
      </c>
      <c r="C29" s="10">
        <f t="shared" si="22"/>
        <v>0.02276902095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0.01091885307</v>
      </c>
      <c r="C30" s="10">
        <f t="shared" si="22"/>
        <v>0.009892480881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0.003795140615</v>
      </c>
      <c r="C31" s="10">
        <f t="shared" si="22"/>
        <v>0.003438397398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aston villa</v>
      </c>
      <c r="J33" s="2" t="s">
        <v>17</v>
      </c>
      <c r="K33" s="7" t="str">
        <f>B13</f>
        <v>sunderland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0.00005928586447</v>
      </c>
      <c r="C36" s="10">
        <f t="shared" ref="C36:C41" si="24">$C$5*B25</f>
        <v>0.00005371299321</v>
      </c>
      <c r="D36" s="10">
        <f>$C$6*B25</f>
        <v>0.00002433198592</v>
      </c>
      <c r="E36" s="10">
        <f>$C$7*B25</f>
        <v>0.000007348259749</v>
      </c>
      <c r="F36" s="10">
        <f>$C$8*B25</f>
        <v>0.000001664380833</v>
      </c>
      <c r="G36" s="10">
        <f>$C$9*B25</f>
        <v>0.000000301585807</v>
      </c>
      <c r="H36" s="10">
        <f>$C$10*B25</f>
        <v>0.00000004553945685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0.01161004883</v>
      </c>
      <c r="C37" s="10">
        <f t="shared" si="24"/>
        <v>0.01051870424</v>
      </c>
      <c r="D37" s="7">
        <f t="shared" ref="D37:H37" si="25">D27*D17</f>
        <v>0.0073428137</v>
      </c>
      <c r="E37" s="7">
        <f t="shared" si="25"/>
        <v>0.001330517842</v>
      </c>
      <c r="F37" s="7">
        <f t="shared" si="25"/>
        <v>0.0002009081942</v>
      </c>
      <c r="G37" s="7">
        <f t="shared" si="25"/>
        <v>0.00002600326056</v>
      </c>
      <c r="H37" s="7">
        <f t="shared" si="25"/>
        <v>0.000002944869259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0.0073428137</v>
      </c>
      <c r="N37" s="7">
        <f>E27*D18</f>
        <v>0.002552192096</v>
      </c>
      <c r="O37" s="7">
        <f>F27*D19</f>
        <v>0.0007392357528</v>
      </c>
      <c r="P37" s="7">
        <f>G27*D20</f>
        <v>0.000183529456</v>
      </c>
      <c r="Q37" s="7">
        <f>H27*D21</f>
        <v>0.0000398691195</v>
      </c>
    </row>
    <row r="38">
      <c r="A38" s="2">
        <v>3.0</v>
      </c>
      <c r="B38" s="10">
        <f t="shared" si="23"/>
        <v>0.02017692132</v>
      </c>
      <c r="C38" s="10">
        <f t="shared" si="24"/>
        <v>0.01828029072</v>
      </c>
      <c r="D38" s="10"/>
      <c r="E38" s="7">
        <f t="shared" ref="E38:H38" si="28">E28*E18</f>
        <v>0.002312286039</v>
      </c>
      <c r="F38" s="7">
        <f t="shared" si="28"/>
        <v>0.0003491551919</v>
      </c>
      <c r="G38" s="7">
        <f t="shared" si="28"/>
        <v>0.0000451906577</v>
      </c>
      <c r="H38" s="7">
        <f t="shared" si="28"/>
        <v>0.000005117841984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0.002312286039</v>
      </c>
      <c r="O38" s="7">
        <f>F28*E19</f>
        <v>0.000669747592</v>
      </c>
      <c r="P38" s="7">
        <f>G28*E20</f>
        <v>0.0001662776871</v>
      </c>
      <c r="Q38" s="7">
        <f>H28*E21</f>
        <v>0.00003612142227</v>
      </c>
    </row>
    <row r="39">
      <c r="A39" s="2">
        <v>4.0</v>
      </c>
      <c r="B39" s="10">
        <f t="shared" si="23"/>
        <v>0.01753257717</v>
      </c>
      <c r="C39" s="10">
        <f t="shared" si="24"/>
        <v>0.01588451491</v>
      </c>
      <c r="D39" s="10"/>
      <c r="E39" s="10"/>
      <c r="F39" s="7">
        <f t="shared" ref="F39:H39" si="29">F29*F19</f>
        <v>0.0003033956592</v>
      </c>
      <c r="G39" s="7">
        <f t="shared" si="29"/>
        <v>0.00003926806675</v>
      </c>
      <c r="H39" s="7">
        <f t="shared" si="29"/>
        <v>0.000004447108559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0.0003033956592</v>
      </c>
      <c r="P39" s="7">
        <f>G29*F20</f>
        <v>0.00007532379227</v>
      </c>
      <c r="Q39" s="7">
        <f>H29*F21</f>
        <v>0.00001636300429</v>
      </c>
    </row>
    <row r="40">
      <c r="A40" s="2">
        <v>5.0</v>
      </c>
      <c r="B40" s="10">
        <f t="shared" si="23"/>
        <v>0.01015653007</v>
      </c>
      <c r="C40" s="10">
        <f t="shared" si="24"/>
        <v>0.00920181624</v>
      </c>
      <c r="D40" s="10"/>
      <c r="E40" s="10"/>
      <c r="F40" s="10"/>
      <c r="G40" s="7">
        <f t="shared" ref="G40:H40" si="30">G30*G20</f>
        <v>0.00002274778527</v>
      </c>
      <c r="H40" s="7">
        <f t="shared" si="30"/>
        <v>0.000002576186681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0.00002274778527</v>
      </c>
      <c r="Q40" s="7">
        <f>H30*G21</f>
        <v>0.000004941627295</v>
      </c>
    </row>
    <row r="41">
      <c r="A41" s="2">
        <v>6.0</v>
      </c>
      <c r="B41" s="10">
        <f t="shared" si="23"/>
        <v>0.004412718478</v>
      </c>
      <c r="C41" s="10">
        <f t="shared" si="24"/>
        <v>0.003997922941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38</v>
      </c>
      <c r="C1" s="1" t="s">
        <v>39</v>
      </c>
      <c r="D1" s="2" t="s">
        <v>2</v>
      </c>
      <c r="G1" s="2" t="str">
        <f t="shared" ref="G1:H1" si="1">B1</f>
        <v>hoffenheim</v>
      </c>
      <c r="H1" s="2" t="str">
        <f t="shared" si="1"/>
        <v>dortmund</v>
      </c>
      <c r="J1" s="3" t="str">
        <f>G1</f>
        <v>hoffenheim</v>
      </c>
      <c r="K1" s="3" t="s">
        <v>3</v>
      </c>
      <c r="L1" s="3" t="s">
        <v>4</v>
      </c>
      <c r="M1" s="3" t="s">
        <v>5</v>
      </c>
      <c r="N1" s="3" t="str">
        <f>H1</f>
        <v>dortmund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0.15878044022275234</v>
      </c>
      <c r="C2" s="1">
        <v>0.21524034317051735</v>
      </c>
      <c r="D2" s="2" t="s">
        <v>7</v>
      </c>
      <c r="E2" s="1">
        <v>2.5</v>
      </c>
      <c r="F2" s="2" t="s">
        <v>8</v>
      </c>
      <c r="G2" s="1">
        <v>2.28</v>
      </c>
      <c r="H2" s="1">
        <v>3.17</v>
      </c>
      <c r="J2" s="3"/>
      <c r="K2" s="4"/>
      <c r="L2" s="5">
        <v>3.25</v>
      </c>
      <c r="M2" s="6">
        <f t="shared" ref="M2:M11" si="3">IFERROR(-ln(1-(1/L2)),0)</f>
        <v>0.3677247801</v>
      </c>
      <c r="N2" s="3"/>
      <c r="O2" s="4"/>
      <c r="P2" s="5">
        <v>3.0</v>
      </c>
      <c r="Q2" s="6">
        <f t="shared" ref="Q2:Q11" si="4">IFERROR(-ln(1-(1/P2)),0)</f>
        <v>0.4054651081</v>
      </c>
    </row>
    <row r="3">
      <c r="A3" s="2" t="s">
        <v>5</v>
      </c>
      <c r="B3" s="7">
        <f t="shared" ref="B3:C3" si="2">-ln(B2)</f>
        <v>1.84023291</v>
      </c>
      <c r="C3" s="7">
        <f t="shared" si="2"/>
        <v>1.536</v>
      </c>
      <c r="D3" s="2" t="s">
        <v>9</v>
      </c>
      <c r="E3" s="1">
        <v>1.525</v>
      </c>
      <c r="F3" s="2" t="s">
        <v>10</v>
      </c>
      <c r="G3" s="8">
        <f>1/(1/G2+SUM(D37:H40))</f>
        <v>2.149331525</v>
      </c>
      <c r="H3" s="8">
        <f>1/(1/H2+SUM(M37:Q40))</f>
        <v>2.906810566</v>
      </c>
      <c r="J3" s="3"/>
      <c r="K3" s="4"/>
      <c r="L3" s="5">
        <v>5.0</v>
      </c>
      <c r="M3" s="6">
        <f t="shared" si="3"/>
        <v>0.2231435513</v>
      </c>
      <c r="N3" s="3"/>
      <c r="O3" s="4"/>
      <c r="P3" s="5">
        <v>3.4</v>
      </c>
      <c r="Q3" s="6">
        <f t="shared" si="4"/>
        <v>0.3483066943</v>
      </c>
    </row>
    <row r="4">
      <c r="A4" s="2" t="s">
        <v>11</v>
      </c>
      <c r="J4" s="3"/>
      <c r="K4" s="4"/>
      <c r="L4" s="5">
        <v>6.0</v>
      </c>
      <c r="M4" s="6">
        <f t="shared" si="3"/>
        <v>0.1823215568</v>
      </c>
      <c r="N4" s="3"/>
      <c r="O4" s="4"/>
      <c r="P4" s="5">
        <v>8.5</v>
      </c>
      <c r="Q4" s="6">
        <f t="shared" si="4"/>
        <v>0.125163143</v>
      </c>
    </row>
    <row r="5">
      <c r="A5" s="2">
        <v>1.0</v>
      </c>
      <c r="B5" s="7">
        <f t="shared" ref="B5:C5" si="5">((B$3^$A5)/FACT($A5))*EXP(-B$3)</f>
        <v>0.2921929916</v>
      </c>
      <c r="C5" s="7">
        <f t="shared" si="5"/>
        <v>0.3306091671</v>
      </c>
      <c r="D5" s="2">
        <v>1.5</v>
      </c>
      <c r="E5" s="7">
        <f>1/(B2*(C2+C5)+B5*C2)</f>
        <v>6.686192787</v>
      </c>
      <c r="J5" s="3"/>
      <c r="K5" s="4"/>
      <c r="L5" s="5">
        <v>3.5</v>
      </c>
      <c r="M5" s="6">
        <f t="shared" si="3"/>
        <v>0.3364722366</v>
      </c>
      <c r="N5" s="3"/>
      <c r="O5" s="4"/>
      <c r="P5" s="5">
        <v>10.0</v>
      </c>
      <c r="Q5" s="6">
        <f t="shared" si="4"/>
        <v>0.1053605157</v>
      </c>
    </row>
    <row r="6">
      <c r="A6" s="2">
        <v>2.0</v>
      </c>
      <c r="B6" s="7">
        <f t="shared" ref="B6:C6" si="6">((B$3^$A6)/FACT($A6))*EXP(-B$3)</f>
        <v>0.2688515796</v>
      </c>
      <c r="C6" s="7">
        <f t="shared" si="6"/>
        <v>0.2539078403</v>
      </c>
      <c r="D6" s="2">
        <v>2.5</v>
      </c>
      <c r="E6" s="7">
        <f>1/(B2*(C2+C5+C6)+B5*(C2+C5)+B6*C2)</f>
        <v>2.904047946</v>
      </c>
      <c r="F6" s="2" t="s">
        <v>12</v>
      </c>
      <c r="J6" s="3"/>
      <c r="K6" s="4"/>
      <c r="L6" s="5">
        <v>6.5</v>
      </c>
      <c r="M6" s="6">
        <f t="shared" si="3"/>
        <v>0.1670540847</v>
      </c>
      <c r="N6" s="3"/>
      <c r="O6" s="4"/>
      <c r="P6" s="5">
        <v>10.0</v>
      </c>
      <c r="Q6" s="6">
        <f t="shared" si="4"/>
        <v>0.1053605157</v>
      </c>
    </row>
    <row r="7">
      <c r="A7" s="2">
        <v>3.0</v>
      </c>
      <c r="B7" s="7">
        <f t="shared" ref="B7:C7" si="7">((B$3^$A7)/FACT($A7))*EXP(-B$3)</f>
        <v>0.1649165083</v>
      </c>
      <c r="C7" s="7">
        <f t="shared" si="7"/>
        <v>0.1300008143</v>
      </c>
      <c r="D7" s="2">
        <v>3.5</v>
      </c>
      <c r="E7" s="7">
        <f>1/(B2*(C2+C5+C6+C7)+B5*(C2+C5+C6)+B6*(C2+C5)+B7*C2)</f>
        <v>1.774433664</v>
      </c>
      <c r="F7" s="7" t="str">
        <f>B1</f>
        <v>hoffenheim</v>
      </c>
      <c r="G7" s="2" t="s">
        <v>13</v>
      </c>
      <c r="H7" s="7" t="str">
        <f>C1</f>
        <v>dortmund</v>
      </c>
      <c r="J7" s="3"/>
      <c r="K7" s="4"/>
      <c r="L7" s="5">
        <v>13.0</v>
      </c>
      <c r="M7" s="6">
        <f t="shared" si="3"/>
        <v>0.08004270767</v>
      </c>
      <c r="N7" s="3"/>
      <c r="O7" s="4"/>
      <c r="P7" s="5">
        <v>15.0</v>
      </c>
      <c r="Q7" s="6">
        <f t="shared" si="4"/>
        <v>0.06899287149</v>
      </c>
    </row>
    <row r="8">
      <c r="A8" s="2">
        <v>4.0</v>
      </c>
      <c r="B8" s="7">
        <f t="shared" ref="B8:C8" si="8">((B$3^$A8)/FACT($A8))*EXP(-B$3)</f>
        <v>0.07587119648</v>
      </c>
      <c r="C8" s="7">
        <f t="shared" si="8"/>
        <v>0.04992031267</v>
      </c>
      <c r="D8" s="2">
        <v>4.5</v>
      </c>
      <c r="E8" s="7">
        <f>1/(B2*(C2+C5+C6+C7+C8)+B5*(C2+C5+C6+C7)+B6*(C2+C5+C6)+B7*(C2+C5)+B8*C2)</f>
        <v>1.335846927</v>
      </c>
      <c r="F8" s="7">
        <f>B5*C2+B6*(C5+C2)+B7*(C6+C5+C2)+B8*(C7+C6+C5+C2)+B9*(C8+C7+C6+C5+C2)+B10*(C9+C8+C7+C6+C5+C2)+B11*(C10+C9+C8+C7+C6+C5+C2)+B12*(C11+C10+C9+C8+C7+C6+C5+C2)</f>
        <v>0.45072468</v>
      </c>
      <c r="G8" s="7">
        <f>B2*C2+B5*C5+B6*C6+B7*C7+B8*C8+B9*C9+B10*C10+B11*C11+B12*C12</f>
        <v>0.2247318358</v>
      </c>
      <c r="H8" s="7">
        <f>C5*B2+C6*(B5+B2)+C7*(B6+B5+B2)+C8*(B7+B6+B5+B2)+C9*(B8+B7+B6+B5+B2)+C10*(B9+B8+B7+B6+B5+B2)+C11*(B10+B9+B7+B8+B6+B5+B2)</f>
        <v>0.3242157118</v>
      </c>
      <c r="J8" s="3"/>
      <c r="K8" s="4"/>
      <c r="L8" s="5">
        <v>15.0</v>
      </c>
      <c r="M8" s="6">
        <f t="shared" si="3"/>
        <v>0.06899287149</v>
      </c>
      <c r="N8" s="3"/>
      <c r="O8" s="4"/>
      <c r="P8" s="5">
        <v>15.0</v>
      </c>
      <c r="Q8" s="6">
        <f t="shared" si="4"/>
        <v>0.06899287149</v>
      </c>
    </row>
    <row r="9">
      <c r="A9" s="2">
        <v>5.0</v>
      </c>
      <c r="B9" s="7">
        <f t="shared" ref="B9:C9" si="9">((B$3^$A9)/FACT($A9))*EXP(-B$3)</f>
        <v>0.02792413454</v>
      </c>
      <c r="C9" s="7">
        <f t="shared" si="9"/>
        <v>0.01533552005</v>
      </c>
      <c r="F9" s="9">
        <f t="shared" ref="F9:H9" si="10">1/F8</f>
        <v>2.218649309</v>
      </c>
      <c r="G9" s="9">
        <f t="shared" si="10"/>
        <v>4.449747836</v>
      </c>
      <c r="H9" s="9">
        <f t="shared" si="10"/>
        <v>3.084366253</v>
      </c>
      <c r="J9" s="3"/>
      <c r="K9" s="4"/>
      <c r="L9" s="5">
        <v>15.0</v>
      </c>
      <c r="M9" s="6">
        <f t="shared" si="3"/>
        <v>0.06899287149</v>
      </c>
      <c r="N9" s="3"/>
      <c r="O9" s="4"/>
      <c r="P9" s="5">
        <v>15.0</v>
      </c>
      <c r="Q9" s="6">
        <f t="shared" si="4"/>
        <v>0.06899287149</v>
      </c>
    </row>
    <row r="10">
      <c r="A10" s="2">
        <v>6.0</v>
      </c>
      <c r="B10" s="7">
        <f t="shared" ref="B10:C10" si="11">((B$3^$A10)/FACT($A10))*EXP(-B$3)</f>
        <v>0.008564485228</v>
      </c>
      <c r="C10" s="7">
        <f t="shared" si="11"/>
        <v>0.003925893134</v>
      </c>
      <c r="J10" s="3"/>
      <c r="K10" s="4"/>
      <c r="L10" s="5">
        <v>15.0</v>
      </c>
      <c r="M10" s="6">
        <f t="shared" si="3"/>
        <v>0.06899287149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0.002251521082</v>
      </c>
      <c r="C11" s="7">
        <f t="shared" si="12"/>
        <v>0.0008614531219</v>
      </c>
      <c r="J11" s="3"/>
      <c r="K11" s="4"/>
      <c r="L11" s="5">
        <v>12.0</v>
      </c>
      <c r="M11" s="6">
        <f t="shared" si="3"/>
        <v>0.08701137699</v>
      </c>
      <c r="N11" s="3"/>
      <c r="O11" s="4"/>
      <c r="P11" s="5">
        <v>8.0</v>
      </c>
      <c r="Q11" s="6">
        <f t="shared" si="4"/>
        <v>0.1335313926</v>
      </c>
    </row>
    <row r="12">
      <c r="A12" s="2">
        <v>8.0</v>
      </c>
      <c r="B12" s="7">
        <f t="shared" ref="B12:C12" si="13">((B$3^$A12)/FACT($A12))*EXP(-B$3)</f>
        <v>0.0005179153991</v>
      </c>
      <c r="C12" s="7">
        <f t="shared" si="13"/>
        <v>0.0001653989994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dortmund</v>
      </c>
      <c r="J13" s="3"/>
      <c r="K13" s="3"/>
      <c r="L13" s="3" t="s">
        <v>14</v>
      </c>
      <c r="M13" s="6">
        <f>SUM(M2:M11)</f>
        <v>1.650748909</v>
      </c>
      <c r="N13" s="3"/>
      <c r="O13" s="3"/>
      <c r="P13" s="3" t="s">
        <v>14</v>
      </c>
      <c r="Q13" s="6">
        <f>SUM(Q2:Q11)</f>
        <v>1.499158855</v>
      </c>
    </row>
    <row r="14">
      <c r="A14" s="7" t="str">
        <f>B1</f>
        <v>hoffenheim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1.425751789</v>
      </c>
      <c r="N14" s="3"/>
      <c r="O14" s="3"/>
      <c r="P14" s="3" t="s">
        <v>15</v>
      </c>
      <c r="Q14" s="6">
        <f>SUM(Q2:Q8)</f>
        <v>1.22764172</v>
      </c>
    </row>
    <row r="15">
      <c r="A15" s="2">
        <v>0.0</v>
      </c>
      <c r="B15" s="7">
        <f>B2*$C$2</f>
        <v>0.03417595644</v>
      </c>
      <c r="C15" s="7">
        <f>C5*B2</f>
        <v>0.0524942691</v>
      </c>
      <c r="D15" s="7">
        <f>C6*B2</f>
        <v>0.04031559867</v>
      </c>
      <c r="E15" s="7">
        <f>C7*B2</f>
        <v>0.02064158652</v>
      </c>
      <c r="F15" s="7">
        <f>C8*B2</f>
        <v>0.007926369222</v>
      </c>
      <c r="G15" s="7">
        <f>C9*B2</f>
        <v>0.002434980625</v>
      </c>
      <c r="H15" s="7">
        <f>$C$10*B2</f>
        <v>0.00062335504</v>
      </c>
    </row>
    <row r="16">
      <c r="A16" s="2">
        <v>1.0</v>
      </c>
      <c r="B16" s="7">
        <f t="shared" ref="B16:B21" si="14">B5*$C$2</f>
        <v>0.06289171978</v>
      </c>
      <c r="C16" s="7">
        <f t="shared" ref="C16:C21" si="15">$C$5*B5</f>
        <v>0.09660168158</v>
      </c>
      <c r="D16" s="7">
        <f t="shared" ref="D16:D21" si="16">$C$6*B5</f>
        <v>0.07419009146</v>
      </c>
      <c r="E16" s="7">
        <f t="shared" ref="E16:E21" si="17">$C$7*B5</f>
        <v>0.03798532683</v>
      </c>
      <c r="F16" s="7">
        <f t="shared" ref="F16:F21" si="18">$C$8*B5</f>
        <v>0.0145863655</v>
      </c>
      <c r="G16" s="7">
        <f t="shared" ref="G16:G21" si="19">$C$9*B5</f>
        <v>0.004480931482</v>
      </c>
      <c r="H16" s="7">
        <f t="shared" ref="H16:H21" si="20">$C$10*B5</f>
        <v>0.001147118459</v>
      </c>
    </row>
    <row r="17">
      <c r="A17" s="2">
        <v>2.0</v>
      </c>
      <c r="B17" s="7">
        <f t="shared" si="14"/>
        <v>0.05786770626</v>
      </c>
      <c r="C17" s="7">
        <f t="shared" si="15"/>
        <v>0.08888479681</v>
      </c>
      <c r="D17" s="7">
        <f t="shared" si="16"/>
        <v>0.06826352395</v>
      </c>
      <c r="E17" s="7">
        <f t="shared" si="17"/>
        <v>0.03495092426</v>
      </c>
      <c r="F17" s="7">
        <f t="shared" si="18"/>
        <v>0.01342115492</v>
      </c>
      <c r="G17" s="7">
        <f t="shared" si="19"/>
        <v>0.004122978791</v>
      </c>
      <c r="H17" s="7">
        <f t="shared" si="20"/>
        <v>0.00105548257</v>
      </c>
    </row>
    <row r="18">
      <c r="A18" s="2">
        <v>3.0</v>
      </c>
      <c r="B18" s="7">
        <f t="shared" si="14"/>
        <v>0.03549668583</v>
      </c>
      <c r="C18" s="7">
        <f t="shared" si="15"/>
        <v>0.05452290944</v>
      </c>
      <c r="D18" s="7">
        <f t="shared" si="16"/>
        <v>0.04187359445</v>
      </c>
      <c r="E18" s="7">
        <f t="shared" si="17"/>
        <v>0.02143928036</v>
      </c>
      <c r="F18" s="7">
        <f t="shared" si="18"/>
        <v>0.008232683657</v>
      </c>
      <c r="G18" s="7">
        <f t="shared" si="19"/>
        <v>0.002529080419</v>
      </c>
      <c r="H18" s="7">
        <f t="shared" si="20"/>
        <v>0.0006474445874</v>
      </c>
    </row>
    <row r="19">
      <c r="A19" s="2">
        <v>4.0</v>
      </c>
      <c r="B19" s="7">
        <f t="shared" si="14"/>
        <v>0.01633054237</v>
      </c>
      <c r="C19" s="7">
        <f t="shared" si="15"/>
        <v>0.02508371308</v>
      </c>
      <c r="D19" s="7">
        <f t="shared" si="16"/>
        <v>0.01926429164</v>
      </c>
      <c r="E19" s="7">
        <f t="shared" si="17"/>
        <v>0.009863317321</v>
      </c>
      <c r="F19" s="7">
        <f t="shared" si="18"/>
        <v>0.003787513851</v>
      </c>
      <c r="G19" s="7">
        <f t="shared" si="19"/>
        <v>0.001163524255</v>
      </c>
      <c r="H19" s="7">
        <f t="shared" si="20"/>
        <v>0.0002978622093</v>
      </c>
    </row>
    <row r="20">
      <c r="A20" s="2">
        <v>5.0</v>
      </c>
      <c r="B20" s="7">
        <f t="shared" si="14"/>
        <v>0.006010400301</v>
      </c>
      <c r="C20" s="7">
        <f t="shared" si="15"/>
        <v>0.009231974862</v>
      </c>
      <c r="D20" s="7">
        <f t="shared" si="16"/>
        <v>0.007090156694</v>
      </c>
      <c r="E20" s="7">
        <f t="shared" si="17"/>
        <v>0.003630160227</v>
      </c>
      <c r="F20" s="7">
        <f t="shared" si="18"/>
        <v>0.001393981527</v>
      </c>
      <c r="G20" s="7">
        <f t="shared" si="19"/>
        <v>0.0004282311252</v>
      </c>
      <c r="H20" s="7">
        <f t="shared" si="20"/>
        <v>0.000109627168</v>
      </c>
    </row>
    <row r="21">
      <c r="A21" s="2">
        <v>6.0</v>
      </c>
      <c r="B21" s="7">
        <f t="shared" si="14"/>
        <v>0.001843422739</v>
      </c>
      <c r="C21" s="7">
        <f t="shared" si="15"/>
        <v>0.002831497328</v>
      </c>
      <c r="D21" s="7">
        <f t="shared" si="16"/>
        <v>0.002174589948</v>
      </c>
      <c r="E21" s="7">
        <f t="shared" si="17"/>
        <v>0.001113390053</v>
      </c>
      <c r="F21" s="7">
        <f t="shared" si="18"/>
        <v>0.0004275417805</v>
      </c>
      <c r="G21" s="7">
        <f t="shared" si="19"/>
        <v>0.000131340835</v>
      </c>
      <c r="H21" s="7">
        <f t="shared" si="20"/>
        <v>0.00003362325375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0.0001114762882</v>
      </c>
      <c r="C25" s="10">
        <f>C15*B12</f>
        <v>0.00002718759033</v>
      </c>
      <c r="D25" s="10">
        <f>C16*B12</f>
        <v>0.00005003149848</v>
      </c>
      <c r="E25" s="10">
        <f>C17*B12</f>
        <v>0.00004603480502</v>
      </c>
      <c r="F25" s="10">
        <f>C18*B12</f>
        <v>0.0000282382544</v>
      </c>
      <c r="G25" s="10">
        <f>C19*B12</f>
        <v>0.00001299124127</v>
      </c>
      <c r="H25" s="10">
        <f>$C$10*B12</f>
        <v>0.000002033280509</v>
      </c>
    </row>
    <row r="26">
      <c r="A26" s="2">
        <v>1.0</v>
      </c>
      <c r="B26" s="10">
        <f t="shared" ref="B26:B31" si="21">B15*$C$2</f>
        <v>0.007356044593</v>
      </c>
      <c r="C26" s="10">
        <f t="shared" ref="C26:C31" si="22">$C$5*B15</f>
        <v>0.01129888449</v>
      </c>
      <c r="D26" s="10">
        <f>$C$6*B15</f>
        <v>0.008677543292</v>
      </c>
      <c r="E26" s="10">
        <f>$C$7*B15</f>
        <v>0.004442902165</v>
      </c>
      <c r="F26" s="10">
        <f>$C$8*B15</f>
        <v>0.001706074432</v>
      </c>
      <c r="G26" s="10">
        <f>$C$9*B15</f>
        <v>0.0005241060654</v>
      </c>
      <c r="H26" s="10">
        <f>$C$10*B15</f>
        <v>0.0001341711527</v>
      </c>
    </row>
    <row r="27">
      <c r="A27" s="2">
        <v>2.0</v>
      </c>
      <c r="B27" s="10">
        <f t="shared" si="21"/>
        <v>0.01353683535</v>
      </c>
      <c r="C27" s="10">
        <f t="shared" si="22"/>
        <v>0.02079257909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0.01245546495</v>
      </c>
      <c r="C28" s="10">
        <f t="shared" si="22"/>
        <v>0.01913159417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0.00764031884</v>
      </c>
      <c r="C29" s="10">
        <f t="shared" si="22"/>
        <v>0.01173552974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0.003514991543</v>
      </c>
      <c r="C30" s="10">
        <f t="shared" si="22"/>
        <v>0.00539902701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0.001293680623</v>
      </c>
      <c r="C31" s="10">
        <f t="shared" si="22"/>
        <v>0.001987093437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hoffenheim</v>
      </c>
      <c r="J33" s="2" t="s">
        <v>17</v>
      </c>
      <c r="K33" s="7" t="str">
        <f>B13</f>
        <v>dortmund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0.00002399419454</v>
      </c>
      <c r="C36" s="10">
        <f t="shared" ref="C36:C41" si="24">$C$5*B25</f>
        <v>0.00003685508281</v>
      </c>
      <c r="D36" s="10">
        <f>$C$6*B25</f>
        <v>0.0000283047036</v>
      </c>
      <c r="E36" s="10">
        <f>$C$7*B25</f>
        <v>0.00001449200824</v>
      </c>
      <c r="F36" s="10">
        <f>$C$8*B25</f>
        <v>0.000005564931165</v>
      </c>
      <c r="G36" s="10">
        <f>$C$9*B25</f>
        <v>0.000001709546854</v>
      </c>
      <c r="H36" s="10">
        <f>$C$10*B25</f>
        <v>0.0000004376439946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0.001583317563</v>
      </c>
      <c r="C37" s="10">
        <f t="shared" si="24"/>
        <v>0.002431975776</v>
      </c>
      <c r="D37" s="7">
        <f t="shared" ref="D37:H37" si="25">D27*D17</f>
        <v>0.01137725399</v>
      </c>
      <c r="E37" s="7">
        <f t="shared" si="25"/>
        <v>0.003495092426</v>
      </c>
      <c r="F37" s="7">
        <f t="shared" si="25"/>
        <v>0.0008947436612</v>
      </c>
      <c r="G37" s="7">
        <f t="shared" si="25"/>
        <v>0.0001963323234</v>
      </c>
      <c r="H37" s="7">
        <f t="shared" si="25"/>
        <v>0.00003769580609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0.01137725399</v>
      </c>
      <c r="N37" s="7">
        <f>E27*D18</f>
        <v>0.004187359445</v>
      </c>
      <c r="O37" s="7">
        <f>F27*D19</f>
        <v>0.001284286109</v>
      </c>
      <c r="P37" s="7">
        <f>G27*D20</f>
        <v>0.0003376265092</v>
      </c>
      <c r="Q37" s="7">
        <f>H27*D21</f>
        <v>0.00007766392671</v>
      </c>
    </row>
    <row r="38">
      <c r="A38" s="2">
        <v>3.0</v>
      </c>
      <c r="B38" s="10">
        <f t="shared" si="23"/>
        <v>0.002913673086</v>
      </c>
      <c r="C38" s="10">
        <f t="shared" si="24"/>
        <v>0.00447540186</v>
      </c>
      <c r="D38" s="10"/>
      <c r="E38" s="7">
        <f t="shared" ref="E38:H38" si="28">E28*E18</f>
        <v>0.006431784107</v>
      </c>
      <c r="F38" s="7">
        <f t="shared" si="28"/>
        <v>0.001646536731</v>
      </c>
      <c r="G38" s="7">
        <f t="shared" si="28"/>
        <v>0.0003612972028</v>
      </c>
      <c r="H38" s="7">
        <f t="shared" si="28"/>
        <v>0.00006936906293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0.006431784107</v>
      </c>
      <c r="O38" s="7">
        <f>F28*E19</f>
        <v>0.001972663464</v>
      </c>
      <c r="P38" s="7">
        <f>G28*E20</f>
        <v>0.0005185943182</v>
      </c>
      <c r="Q38" s="7">
        <f>H28*E21</f>
        <v>0.0001192917914</v>
      </c>
    </row>
    <row r="39">
      <c r="A39" s="2">
        <v>4.0</v>
      </c>
      <c r="B39" s="10">
        <f t="shared" si="23"/>
        <v>0.002680918551</v>
      </c>
      <c r="C39" s="10">
        <f t="shared" si="24"/>
        <v>0.004117890894</v>
      </c>
      <c r="D39" s="10"/>
      <c r="E39" s="10"/>
      <c r="F39" s="7">
        <f t="shared" ref="F39:H39" si="29">F29*F19</f>
        <v>0.00151500554</v>
      </c>
      <c r="G39" s="7">
        <f t="shared" si="29"/>
        <v>0.0003324355014</v>
      </c>
      <c r="H39" s="7">
        <f t="shared" si="29"/>
        <v>0.00006382761628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0.00151500554</v>
      </c>
      <c r="P39" s="7">
        <f>G29*F20</f>
        <v>0.0003982804364</v>
      </c>
      <c r="Q39" s="7">
        <f>H29*F21</f>
        <v>0.00009161609581</v>
      </c>
    </row>
    <row r="40">
      <c r="A40" s="2">
        <v>5.0</v>
      </c>
      <c r="B40" s="10">
        <f t="shared" si="23"/>
        <v>0.001644504849</v>
      </c>
      <c r="C40" s="10">
        <f t="shared" si="24"/>
        <v>0.002525959448</v>
      </c>
      <c r="D40" s="10"/>
      <c r="E40" s="10"/>
      <c r="F40" s="10"/>
      <c r="G40" s="7">
        <f t="shared" ref="G40:H40" si="30">G30*G20</f>
        <v>0.0002039195834</v>
      </c>
      <c r="H40" s="7">
        <f t="shared" si="30"/>
        <v>0.00003915256002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0.0002039195834</v>
      </c>
      <c r="Q40" s="7">
        <f>H30*G21</f>
        <v>0.00004690744106</v>
      </c>
    </row>
    <row r="41">
      <c r="A41" s="2">
        <v>6.0</v>
      </c>
      <c r="B41" s="10">
        <f t="shared" si="23"/>
        <v>0.000756567986</v>
      </c>
      <c r="C41" s="10">
        <f t="shared" si="24"/>
        <v>0.001162088426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40</v>
      </c>
      <c r="C1" s="1" t="s">
        <v>41</v>
      </c>
      <c r="D1" s="2" t="s">
        <v>2</v>
      </c>
      <c r="G1" s="2" t="str">
        <f t="shared" ref="G1:H1" si="1">B1</f>
        <v>monaco</v>
      </c>
      <c r="H1" s="2" t="str">
        <f t="shared" si="1"/>
        <v>auxerre</v>
      </c>
      <c r="J1" s="3" t="str">
        <f>G1</f>
        <v>monaco</v>
      </c>
      <c r="K1" s="3" t="s">
        <v>3</v>
      </c>
      <c r="L1" s="3" t="s">
        <v>4</v>
      </c>
      <c r="M1" s="3" t="s">
        <v>5</v>
      </c>
      <c r="N1" s="3" t="str">
        <f>H1</f>
        <v>auxerre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0.12528708926986687</v>
      </c>
      <c r="C2" s="1">
        <v>0.3775697345757777</v>
      </c>
      <c r="D2" s="2" t="s">
        <v>7</v>
      </c>
      <c r="E2" s="1">
        <v>2.5</v>
      </c>
      <c r="F2" s="2" t="s">
        <v>8</v>
      </c>
      <c r="G2" s="1">
        <v>1.645</v>
      </c>
      <c r="H2" s="1">
        <v>6.15</v>
      </c>
      <c r="J2" s="3"/>
      <c r="K2" s="4"/>
      <c r="L2" s="5">
        <v>2.4</v>
      </c>
      <c r="M2" s="6">
        <f t="shared" ref="M2:M11" si="3">IFERROR(-ln(1-(1/L2)),0)</f>
        <v>0.5389965007</v>
      </c>
      <c r="N2" s="3"/>
      <c r="O2" s="4"/>
      <c r="P2" s="5">
        <v>3.25</v>
      </c>
      <c r="Q2" s="6">
        <f t="shared" ref="Q2:Q11" si="4">IFERROR(-ln(1-(1/P2)),0)</f>
        <v>0.3677247801</v>
      </c>
    </row>
    <row r="3">
      <c r="A3" s="2" t="s">
        <v>5</v>
      </c>
      <c r="B3" s="7">
        <f t="shared" ref="B3:C3" si="2">-ln(B2)</f>
        <v>2.077147461</v>
      </c>
      <c r="C3" s="7">
        <f t="shared" si="2"/>
        <v>0.974</v>
      </c>
      <c r="D3" s="2" t="s">
        <v>9</v>
      </c>
      <c r="E3" s="1">
        <v>1.7</v>
      </c>
      <c r="F3" s="2" t="s">
        <v>10</v>
      </c>
      <c r="G3" s="8">
        <f>1/(1/G2+SUM(D37:H40))</f>
        <v>1.606659015</v>
      </c>
      <c r="H3" s="8">
        <f>1/(1/H2+SUM(M37:Q40))</f>
        <v>5.517105451</v>
      </c>
      <c r="J3" s="3"/>
      <c r="K3" s="4"/>
      <c r="L3" s="5">
        <v>3.75</v>
      </c>
      <c r="M3" s="6">
        <f t="shared" si="3"/>
        <v>0.3101549283</v>
      </c>
      <c r="N3" s="3"/>
      <c r="O3" s="4"/>
      <c r="P3" s="5">
        <v>2.4</v>
      </c>
      <c r="Q3" s="6">
        <f t="shared" si="4"/>
        <v>0.5389965007</v>
      </c>
    </row>
    <row r="4">
      <c r="A4" s="2" t="s">
        <v>11</v>
      </c>
      <c r="J4" s="3"/>
      <c r="K4" s="4"/>
      <c r="L4" s="5">
        <v>5.0</v>
      </c>
      <c r="M4" s="6">
        <f t="shared" si="3"/>
        <v>0.2231435513</v>
      </c>
      <c r="N4" s="3"/>
      <c r="O4" s="4"/>
      <c r="P4" s="5">
        <v>2.75</v>
      </c>
      <c r="Q4" s="6">
        <f t="shared" si="4"/>
        <v>0.4519851237</v>
      </c>
    </row>
    <row r="5">
      <c r="A5" s="2">
        <v>1.0</v>
      </c>
      <c r="B5" s="7">
        <f t="shared" ref="B5:C5" si="5">((B$3^$A5)/FACT($A5))*EXP(-B$3)</f>
        <v>0.2602397594</v>
      </c>
      <c r="C5" s="7">
        <f t="shared" si="5"/>
        <v>0.3677529215</v>
      </c>
      <c r="D5" s="2">
        <v>1.5</v>
      </c>
      <c r="E5" s="7">
        <f>1/(B2*(C2+C5)+B5*C2)</f>
        <v>5.218172768</v>
      </c>
      <c r="J5" s="3"/>
      <c r="K5" s="4"/>
      <c r="L5" s="5">
        <v>8.0</v>
      </c>
      <c r="M5" s="6">
        <f t="shared" si="3"/>
        <v>0.1335313926</v>
      </c>
      <c r="N5" s="3"/>
      <c r="O5" s="4"/>
      <c r="P5" s="5">
        <v>3.75</v>
      </c>
      <c r="Q5" s="6">
        <f t="shared" si="4"/>
        <v>0.3101549283</v>
      </c>
    </row>
    <row r="6">
      <c r="A6" s="2">
        <v>2.0</v>
      </c>
      <c r="B6" s="7">
        <f t="shared" ref="B6:C6" si="6">((B$3^$A6)/FACT($A6))*EXP(-B$3)</f>
        <v>0.2702781777</v>
      </c>
      <c r="C6" s="7">
        <f t="shared" si="6"/>
        <v>0.1790956728</v>
      </c>
      <c r="D6" s="2">
        <v>2.5</v>
      </c>
      <c r="E6" s="7">
        <f>1/(B2*(C2+C5+C6)+B5*(C2+C5)+B6*C2)</f>
        <v>2.428191516</v>
      </c>
      <c r="F6" s="2" t="s">
        <v>12</v>
      </c>
      <c r="J6" s="3"/>
      <c r="K6" s="4"/>
      <c r="L6" s="5">
        <v>3.5</v>
      </c>
      <c r="M6" s="6">
        <f t="shared" si="3"/>
        <v>0.3364722366</v>
      </c>
      <c r="N6" s="3"/>
      <c r="O6" s="4"/>
      <c r="P6" s="5">
        <v>11.0</v>
      </c>
      <c r="Q6" s="6">
        <f t="shared" si="4"/>
        <v>0.0953101798</v>
      </c>
    </row>
    <row r="7">
      <c r="A7" s="2">
        <v>3.0</v>
      </c>
      <c r="B7" s="7">
        <f t="shared" ref="B7:C7" si="7">((B$3^$A7)/FACT($A7))*EXP(-B$3)</f>
        <v>0.1871358769</v>
      </c>
      <c r="C7" s="7">
        <f t="shared" si="7"/>
        <v>0.05814639509</v>
      </c>
      <c r="D7" s="2">
        <v>3.5</v>
      </c>
      <c r="E7" s="7">
        <f>1/(B2*(C2+C5+C6+C7)+B5*(C2+C5+C6)+B6*(C2+C5)+B7*C2)</f>
        <v>1.572885046</v>
      </c>
      <c r="F7" s="7" t="str">
        <f>B1</f>
        <v>monaco</v>
      </c>
      <c r="G7" s="2" t="s">
        <v>13</v>
      </c>
      <c r="H7" s="7" t="str">
        <f>C1</f>
        <v>auxerre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12.0</v>
      </c>
      <c r="Q7" s="6">
        <f t="shared" si="4"/>
        <v>0.08701137699</v>
      </c>
    </row>
    <row r="8">
      <c r="A8" s="2">
        <v>4.0</v>
      </c>
      <c r="B8" s="7">
        <f t="shared" ref="B8:C8" si="8">((B$3^$A8)/FACT($A8))*EXP(-B$3)</f>
        <v>0.09717720286</v>
      </c>
      <c r="C8" s="7">
        <f t="shared" si="8"/>
        <v>0.0141586472</v>
      </c>
      <c r="D8" s="2">
        <v>4.5</v>
      </c>
      <c r="E8" s="7">
        <f>1/(B2*(C2+C5+C6+C7+C8)+B5*(C2+C5+C6+C7)+B6*(C2+C5+C6)+B7*(C2+C5)+B8*C2)</f>
        <v>1.239776711</v>
      </c>
      <c r="F8" s="7">
        <f>B5*C2+B6*(C5+C2)+B7*(C6+C5+C2)+B8*(C7+C6+C5+C2)+B9*(C8+C7+C6+C5+C2)+B10*(C9+C8+C7+C6+C5+C2)+B11*(C10+C9+C8+C7+C6+C5+C2)+B12*(C11+C10+C9+C8+C7+C6+C5+C2)</f>
        <v>0.6276080146</v>
      </c>
      <c r="G8" s="7">
        <f>B2*C2+B5*C5+B6*C6+B7*C7+B8*C8+B9*C9+B10*C10+B11*C11+B12*C12</f>
        <v>0.2037892407</v>
      </c>
      <c r="H8" s="7">
        <f>C5*B2+C6*(B5+B2)+C7*(B6+B5+B2)+C8*(B7+B6+B5+B2)+C9*(B8+B7+B6+B5+B2)+C10*(B9+B8+B7+B6+B5+B2)+C11*(B10+B9+B7+B8+B6+B5+B2)</f>
        <v>0.1682823786</v>
      </c>
      <c r="J8" s="3"/>
      <c r="K8" s="4"/>
      <c r="L8" s="5">
        <v>6.0</v>
      </c>
      <c r="M8" s="6">
        <f t="shared" si="3"/>
        <v>0.1823215568</v>
      </c>
      <c r="N8" s="3"/>
      <c r="O8" s="4"/>
      <c r="P8" s="5">
        <v>10.5</v>
      </c>
      <c r="Q8" s="6">
        <f t="shared" si="4"/>
        <v>0.1000834586</v>
      </c>
    </row>
    <row r="9">
      <c r="A9" s="2">
        <v>5.0</v>
      </c>
      <c r="B9" s="7">
        <f t="shared" ref="B9:C9" si="9">((B$3^$A9)/FACT($A9))*EXP(-B$3)</f>
        <v>0.04037027604</v>
      </c>
      <c r="C9" s="7">
        <f t="shared" si="9"/>
        <v>0.002758104475</v>
      </c>
      <c r="F9" s="9">
        <f t="shared" ref="F9:H9" si="10">1/F8</f>
        <v>1.593351227</v>
      </c>
      <c r="G9" s="9">
        <f t="shared" si="10"/>
        <v>4.907030404</v>
      </c>
      <c r="H9" s="9">
        <f t="shared" si="10"/>
        <v>5.94239283</v>
      </c>
      <c r="J9" s="3"/>
      <c r="K9" s="4"/>
      <c r="L9" s="5">
        <v>5.0</v>
      </c>
      <c r="M9" s="6">
        <f t="shared" si="3"/>
        <v>0.2231435513</v>
      </c>
      <c r="N9" s="3"/>
      <c r="O9" s="4"/>
      <c r="P9" s="5">
        <v>15.0</v>
      </c>
      <c r="Q9" s="6">
        <f t="shared" si="4"/>
        <v>0.06899287149</v>
      </c>
    </row>
    <row r="10">
      <c r="A10" s="2">
        <v>6.0</v>
      </c>
      <c r="B10" s="7">
        <f t="shared" ref="B10:C10" si="11">((B$3^$A10)/FACT($A10))*EXP(-B$3)</f>
        <v>0.01397583606</v>
      </c>
      <c r="C10" s="7">
        <f t="shared" si="11"/>
        <v>0.0004477322932</v>
      </c>
      <c r="J10" s="3"/>
      <c r="K10" s="4"/>
      <c r="L10" s="5">
        <v>12.0</v>
      </c>
      <c r="M10" s="6">
        <f t="shared" si="3"/>
        <v>0.08701137699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0.004147124627</v>
      </c>
      <c r="C11" s="7">
        <f t="shared" si="12"/>
        <v>0.00006229875051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12.5</v>
      </c>
      <c r="Q11" s="6">
        <f t="shared" si="4"/>
        <v>0.08338160894</v>
      </c>
    </row>
    <row r="12">
      <c r="A12" s="2">
        <v>8.0</v>
      </c>
      <c r="B12" s="7">
        <f t="shared" ref="B12:C12" si="13">((B$3^$A12)/FACT($A12))*EXP(-B$3)</f>
        <v>0.001076773674</v>
      </c>
      <c r="C12" s="7">
        <f t="shared" si="13"/>
        <v>0.000007584872874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auxerre</v>
      </c>
      <c r="J13" s="3"/>
      <c r="K13" s="3"/>
      <c r="L13" s="3" t="s">
        <v>14</v>
      </c>
      <c r="M13" s="6">
        <f>SUM(M2:M11)</f>
        <v>2.209128482</v>
      </c>
      <c r="N13" s="3"/>
      <c r="O13" s="3"/>
      <c r="P13" s="3" t="s">
        <v>14</v>
      </c>
      <c r="Q13" s="6">
        <f>SUM(Q2:Q11)</f>
        <v>2.1726337</v>
      </c>
    </row>
    <row r="14">
      <c r="A14" s="7" t="str">
        <f>B1</f>
        <v>monaco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1.829980682</v>
      </c>
      <c r="N14" s="3"/>
      <c r="O14" s="3"/>
      <c r="P14" s="3" t="s">
        <v>15</v>
      </c>
      <c r="Q14" s="6">
        <f>SUM(Q2:Q8)</f>
        <v>1.951266348</v>
      </c>
    </row>
    <row r="15">
      <c r="A15" s="2">
        <v>0.0</v>
      </c>
      <c r="B15" s="7">
        <f>B2*$C$2</f>
        <v>0.04730461304</v>
      </c>
      <c r="C15" s="7">
        <f>C5*B2</f>
        <v>0.0460746931</v>
      </c>
      <c r="D15" s="7">
        <f>C6*B2</f>
        <v>0.02243837554</v>
      </c>
      <c r="E15" s="7">
        <f>C7*B2</f>
        <v>0.007284992592</v>
      </c>
      <c r="F15" s="7">
        <f>C8*B2</f>
        <v>0.001773895696</v>
      </c>
      <c r="G15" s="7">
        <f>C9*B2</f>
        <v>0.0003455548816</v>
      </c>
      <c r="H15" s="7">
        <f>$C$10*B2</f>
        <v>0.00005609507578</v>
      </c>
    </row>
    <row r="16">
      <c r="A16" s="2">
        <v>1.0</v>
      </c>
      <c r="B16" s="7">
        <f t="shared" ref="B16:B21" si="14">B5*$C$2</f>
        <v>0.09825865687</v>
      </c>
      <c r="C16" s="7">
        <f t="shared" ref="C16:C21" si="15">$C$5*B5</f>
        <v>0.09570393179</v>
      </c>
      <c r="D16" s="7">
        <f t="shared" ref="D16:D21" si="16">$C$6*B5</f>
        <v>0.04660781478</v>
      </c>
      <c r="E16" s="7">
        <f t="shared" ref="E16:E21" si="17">$C$7*B5</f>
        <v>0.01513200387</v>
      </c>
      <c r="F16" s="7">
        <f t="shared" ref="F16:F21" si="18">$C$8*B5</f>
        <v>0.003684642941</v>
      </c>
      <c r="G16" s="7">
        <f t="shared" ref="G16:G21" si="19">$C$9*B5</f>
        <v>0.000717768445</v>
      </c>
      <c r="H16" s="7">
        <f t="shared" ref="H16:H21" si="20">$C$10*B5</f>
        <v>0.0001165177442</v>
      </c>
    </row>
    <row r="17">
      <c r="A17" s="2">
        <v>2.0</v>
      </c>
      <c r="B17" s="7">
        <f t="shared" si="14"/>
        <v>0.1020488598</v>
      </c>
      <c r="C17" s="7">
        <f t="shared" si="15"/>
        <v>0.09939558946</v>
      </c>
      <c r="D17" s="7">
        <f t="shared" si="16"/>
        <v>0.04840565207</v>
      </c>
      <c r="E17" s="7">
        <f t="shared" si="17"/>
        <v>0.0157157017</v>
      </c>
      <c r="F17" s="7">
        <f t="shared" si="18"/>
        <v>0.003826773365</v>
      </c>
      <c r="G17" s="7">
        <f t="shared" si="19"/>
        <v>0.0007454554515</v>
      </c>
      <c r="H17" s="7">
        <f t="shared" si="20"/>
        <v>0.0001210122683</v>
      </c>
    </row>
    <row r="18">
      <c r="A18" s="2">
        <v>3.0</v>
      </c>
      <c r="B18" s="7">
        <f t="shared" si="14"/>
        <v>0.07065684335</v>
      </c>
      <c r="C18" s="7">
        <f t="shared" si="15"/>
        <v>0.06881976543</v>
      </c>
      <c r="D18" s="7">
        <f t="shared" si="16"/>
        <v>0.03351522576</v>
      </c>
      <c r="E18" s="7">
        <f t="shared" si="17"/>
        <v>0.01088127663</v>
      </c>
      <c r="F18" s="7">
        <f t="shared" si="18"/>
        <v>0.00264959086</v>
      </c>
      <c r="G18" s="7">
        <f t="shared" si="19"/>
        <v>0.0005161402995</v>
      </c>
      <c r="H18" s="7">
        <f t="shared" si="20"/>
        <v>0.00008378677528</v>
      </c>
    </row>
    <row r="19">
      <c r="A19" s="2">
        <v>4.0</v>
      </c>
      <c r="B19" s="7">
        <f t="shared" si="14"/>
        <v>0.03669117069</v>
      </c>
      <c r="C19" s="7">
        <f t="shared" si="15"/>
        <v>0.03573720025</v>
      </c>
      <c r="D19" s="7">
        <f t="shared" si="16"/>
        <v>0.01740401652</v>
      </c>
      <c r="E19" s="7">
        <f t="shared" si="17"/>
        <v>0.005650504031</v>
      </c>
      <c r="F19" s="7">
        <f t="shared" si="18"/>
        <v>0.001375897732</v>
      </c>
      <c r="G19" s="7">
        <f t="shared" si="19"/>
        <v>0.0002680248781</v>
      </c>
      <c r="H19" s="7">
        <f t="shared" si="20"/>
        <v>0.00004350937188</v>
      </c>
    </row>
    <row r="20">
      <c r="A20" s="2">
        <v>5.0</v>
      </c>
      <c r="B20" s="7">
        <f t="shared" si="14"/>
        <v>0.01524259441</v>
      </c>
      <c r="C20" s="7">
        <f t="shared" si="15"/>
        <v>0.01484628695</v>
      </c>
      <c r="D20" s="7">
        <f t="shared" si="16"/>
        <v>0.007230141746</v>
      </c>
      <c r="E20" s="7">
        <f t="shared" si="17"/>
        <v>0.00234738602</v>
      </c>
      <c r="F20" s="7">
        <f t="shared" si="18"/>
        <v>0.000571588496</v>
      </c>
      <c r="G20" s="7">
        <f t="shared" si="19"/>
        <v>0.000111345439</v>
      </c>
      <c r="H20" s="7">
        <f t="shared" si="20"/>
        <v>0.00001807507627</v>
      </c>
    </row>
    <row r="21">
      <c r="A21" s="2">
        <v>6.0</v>
      </c>
      <c r="B21" s="7">
        <f t="shared" si="14"/>
        <v>0.005276852712</v>
      </c>
      <c r="C21" s="7">
        <f t="shared" si="15"/>
        <v>0.005139654542</v>
      </c>
      <c r="D21" s="7">
        <f t="shared" si="16"/>
        <v>0.002503011762</v>
      </c>
      <c r="E21" s="7">
        <f t="shared" si="17"/>
        <v>0.0008126444853</v>
      </c>
      <c r="F21" s="7">
        <f t="shared" si="18"/>
        <v>0.0001978789322</v>
      </c>
      <c r="G21" s="7">
        <f t="shared" si="19"/>
        <v>0.00003854681599</v>
      </c>
      <c r="H21" s="7">
        <f t="shared" si="20"/>
        <v>0.000006257433129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0.0004065571502</v>
      </c>
      <c r="C25" s="10">
        <f>C15*B12</f>
        <v>0.00004961201656</v>
      </c>
      <c r="D25" s="10">
        <f>C16*B12</f>
        <v>0.0001030514742</v>
      </c>
      <c r="E25" s="10">
        <f>C17*B12</f>
        <v>0.000107026554</v>
      </c>
      <c r="F25" s="10">
        <f>C18*B12</f>
        <v>0.00007410331164</v>
      </c>
      <c r="G25" s="10">
        <f>C19*B12</f>
        <v>0.0000384808764</v>
      </c>
      <c r="H25" s="10">
        <f>$C$10*B12</f>
        <v>0.0000004821063461</v>
      </c>
    </row>
    <row r="26">
      <c r="A26" s="2">
        <v>1.0</v>
      </c>
      <c r="B26" s="10">
        <f t="shared" ref="B26:B31" si="21">B15*$C$2</f>
        <v>0.01786079019</v>
      </c>
      <c r="C26" s="10">
        <f t="shared" ref="C26:C31" si="22">$C$5*B15</f>
        <v>0.01739640965</v>
      </c>
      <c r="D26" s="10">
        <f>$C$6*B15</f>
        <v>0.008472051497</v>
      </c>
      <c r="E26" s="10">
        <f>$C$7*B15</f>
        <v>0.002750592719</v>
      </c>
      <c r="F26" s="10">
        <f>$C$8*B15</f>
        <v>0.0006697693272</v>
      </c>
      <c r="G26" s="10">
        <f>$C$9*B15</f>
        <v>0.0001304710649</v>
      </c>
      <c r="H26" s="10">
        <f>$C$10*B15</f>
        <v>0.00002117980287</v>
      </c>
    </row>
    <row r="27">
      <c r="A27" s="2">
        <v>2.0</v>
      </c>
      <c r="B27" s="10">
        <f t="shared" si="21"/>
        <v>0.03709949499</v>
      </c>
      <c r="C27" s="10">
        <f t="shared" si="22"/>
        <v>0.03613490812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0.03853056091</v>
      </c>
      <c r="C28" s="10">
        <f t="shared" si="22"/>
        <v>0.03752876633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0.02667788559</v>
      </c>
      <c r="C29" s="10">
        <f t="shared" si="22"/>
        <v>0.02598426057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0.01385347558</v>
      </c>
      <c r="C30" s="10">
        <f t="shared" si="22"/>
        <v>0.01349328521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0.005755142325</v>
      </c>
      <c r="C31" s="10">
        <f t="shared" si="22"/>
        <v>0.005605508625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monaco</v>
      </c>
      <c r="J33" s="2" t="s">
        <v>17</v>
      </c>
      <c r="K33" s="7" t="str">
        <f>B13</f>
        <v>auxerre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0.0001535036753</v>
      </c>
      <c r="C36" s="10">
        <f t="shared" ref="C36:C41" si="24">$C$5*B25</f>
        <v>0.0001495125797</v>
      </c>
      <c r="D36" s="10">
        <f>$C$6*B25</f>
        <v>0.00007281262632</v>
      </c>
      <c r="E36" s="10">
        <f>$C$7*B25</f>
        <v>0.00002363983268</v>
      </c>
      <c r="F36" s="10">
        <f>$C$8*B25</f>
        <v>0.000005756299258</v>
      </c>
      <c r="G36" s="10">
        <f>$C$9*B25</f>
        <v>0.000001121327095</v>
      </c>
      <c r="H36" s="10">
        <f>$C$10*B25</f>
        <v>0.0000001820287651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0.006743693811</v>
      </c>
      <c r="C37" s="10">
        <f t="shared" si="24"/>
        <v>0.006568357772</v>
      </c>
      <c r="D37" s="7">
        <f t="shared" ref="D37:H37" si="25">D27*D17</f>
        <v>0.008067608678</v>
      </c>
      <c r="E37" s="7">
        <f t="shared" si="25"/>
        <v>0.00157157017</v>
      </c>
      <c r="F37" s="7">
        <f t="shared" si="25"/>
        <v>0.0002551182243</v>
      </c>
      <c r="G37" s="7">
        <f t="shared" si="25"/>
        <v>0.00003549787864</v>
      </c>
      <c r="H37" s="7">
        <f t="shared" si="25"/>
        <v>0.000004321866725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0.008067608678</v>
      </c>
      <c r="N37" s="7">
        <f>E27*D18</f>
        <v>0.003351522576</v>
      </c>
      <c r="O37" s="7">
        <f>F27*D19</f>
        <v>0.001160267768</v>
      </c>
      <c r="P37" s="7">
        <f>G27*D20</f>
        <v>0.0003442924641</v>
      </c>
      <c r="Q37" s="7">
        <f>H27*D21</f>
        <v>0.00008939327721</v>
      </c>
    </row>
    <row r="38">
      <c r="A38" s="2">
        <v>3.0</v>
      </c>
      <c r="B38" s="10">
        <f t="shared" si="23"/>
        <v>0.01400764648</v>
      </c>
      <c r="C38" s="10">
        <f t="shared" si="24"/>
        <v>0.01364344767</v>
      </c>
      <c r="D38" s="10"/>
      <c r="E38" s="7">
        <f t="shared" ref="E38:H38" si="28">E28*E18</f>
        <v>0.003264382989</v>
      </c>
      <c r="F38" s="7">
        <f t="shared" si="28"/>
        <v>0.0005299181719</v>
      </c>
      <c r="G38" s="7">
        <f t="shared" si="28"/>
        <v>0.00007373432849</v>
      </c>
      <c r="H38" s="7">
        <f t="shared" si="28"/>
        <v>0.000008977154494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0.003264382989</v>
      </c>
      <c r="O38" s="7">
        <f>F28*E19</f>
        <v>0.001130100806</v>
      </c>
      <c r="P38" s="7">
        <f>G28*E20</f>
        <v>0.0003353408601</v>
      </c>
      <c r="Q38" s="7">
        <f>H28*E21</f>
        <v>0.000087069052</v>
      </c>
    </row>
    <row r="39">
      <c r="A39" s="2">
        <v>4.0</v>
      </c>
      <c r="B39" s="10">
        <f t="shared" si="23"/>
        <v>0.01454797366</v>
      </c>
      <c r="C39" s="10">
        <f t="shared" si="24"/>
        <v>0.01416972634</v>
      </c>
      <c r="D39" s="10"/>
      <c r="E39" s="10"/>
      <c r="F39" s="7">
        <f t="shared" ref="F39:H39" si="29">F29*F19</f>
        <v>0.0005503590927</v>
      </c>
      <c r="G39" s="7">
        <f t="shared" si="29"/>
        <v>0.00007657853661</v>
      </c>
      <c r="H39" s="7">
        <f t="shared" si="29"/>
        <v>0.000009323436832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0.0005503590927</v>
      </c>
      <c r="P39" s="7">
        <f>G29*F20</f>
        <v>0.0001633109988</v>
      </c>
      <c r="Q39" s="7">
        <f>H29*F21</f>
        <v>0.00004240262832</v>
      </c>
    </row>
    <row r="40">
      <c r="A40" s="2">
        <v>5.0</v>
      </c>
      <c r="B40" s="10">
        <f t="shared" si="23"/>
        <v>0.01007276218</v>
      </c>
      <c r="C40" s="10">
        <f t="shared" si="24"/>
        <v>0.009810870365</v>
      </c>
      <c r="D40" s="10"/>
      <c r="E40" s="10"/>
      <c r="F40" s="10"/>
      <c r="G40" s="7">
        <f t="shared" ref="G40:H40" si="30">G30*G20</f>
        <v>0.00005302163762</v>
      </c>
      <c r="H40" s="7">
        <f t="shared" si="30"/>
        <v>0.000006455384381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0.00005302163762</v>
      </c>
      <c r="Q40" s="7">
        <f>H30*G21</f>
        <v>0.00001376672</v>
      </c>
    </row>
    <row r="41">
      <c r="A41" s="2">
        <v>6.0</v>
      </c>
      <c r="B41" s="10">
        <f t="shared" si="23"/>
        <v>0.005230653097</v>
      </c>
      <c r="C41" s="10">
        <f t="shared" si="24"/>
        <v>0.005094656117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42</v>
      </c>
      <c r="C1" s="1" t="s">
        <v>43</v>
      </c>
      <c r="D1" s="2" t="s">
        <v>2</v>
      </c>
      <c r="G1" s="2" t="str">
        <f t="shared" ref="G1:H1" si="1">B1</f>
        <v>hellas verone</v>
      </c>
      <c r="H1" s="2" t="str">
        <f t="shared" si="1"/>
        <v>milan</v>
      </c>
      <c r="J1" s="3" t="str">
        <f>G1</f>
        <v>hellas verone</v>
      </c>
      <c r="K1" s="3" t="s">
        <v>3</v>
      </c>
      <c r="L1" s="3" t="s">
        <v>4</v>
      </c>
      <c r="M1" s="3" t="s">
        <v>5</v>
      </c>
      <c r="N1" s="3" t="str">
        <f>H1</f>
        <v>milan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0.48947548575586847</v>
      </c>
      <c r="C2" s="1">
        <v>0.15076996716098715</v>
      </c>
      <c r="D2" s="2" t="s">
        <v>7</v>
      </c>
      <c r="E2" s="1">
        <v>2.5</v>
      </c>
      <c r="F2" s="2" t="s">
        <v>8</v>
      </c>
      <c r="G2" s="1">
        <v>7.71</v>
      </c>
      <c r="H2" s="1">
        <v>1.578</v>
      </c>
      <c r="J2" s="3"/>
      <c r="K2" s="4"/>
      <c r="L2" s="5">
        <v>4.5</v>
      </c>
      <c r="M2" s="6">
        <f t="shared" ref="M2:M11" si="3">IFERROR(-ln(1-(1/L2)),0)</f>
        <v>0.2513144283</v>
      </c>
      <c r="N2" s="3"/>
      <c r="O2" s="4"/>
      <c r="P2" s="5">
        <v>1.95</v>
      </c>
      <c r="Q2" s="6">
        <f t="shared" ref="Q2:Q11" si="4">IFERROR(-ln(1-(1/P2)),0)</f>
        <v>0.719122667</v>
      </c>
    </row>
    <row r="3">
      <c r="A3" s="2" t="s">
        <v>5</v>
      </c>
      <c r="B3" s="7">
        <f t="shared" ref="B3:C3" si="2">-ln(B2)</f>
        <v>0.7144208984</v>
      </c>
      <c r="C3" s="7">
        <f t="shared" si="2"/>
        <v>1.892</v>
      </c>
      <c r="D3" s="2" t="s">
        <v>9</v>
      </c>
      <c r="E3" s="1">
        <v>2.07</v>
      </c>
      <c r="F3" s="2" t="s">
        <v>10</v>
      </c>
      <c r="G3" s="8">
        <f>1/(1/G2+SUM(D37:H40))</f>
        <v>7.105320912</v>
      </c>
      <c r="H3" s="8">
        <f>1/(1/H2+SUM(M37:Q40))</f>
        <v>1.55723863</v>
      </c>
      <c r="J3" s="3"/>
      <c r="K3" s="4"/>
      <c r="L3" s="5">
        <v>4.5</v>
      </c>
      <c r="M3" s="6">
        <f t="shared" si="3"/>
        <v>0.2513144283</v>
      </c>
      <c r="N3" s="3"/>
      <c r="O3" s="4"/>
      <c r="P3" s="5">
        <v>2.5</v>
      </c>
      <c r="Q3" s="6">
        <f t="shared" si="4"/>
        <v>0.5108256238</v>
      </c>
    </row>
    <row r="4">
      <c r="A4" s="2" t="s">
        <v>11</v>
      </c>
      <c r="J4" s="3"/>
      <c r="K4" s="4"/>
      <c r="L4" s="5">
        <v>5.5</v>
      </c>
      <c r="M4" s="6">
        <f t="shared" si="3"/>
        <v>0.2006706955</v>
      </c>
      <c r="N4" s="3"/>
      <c r="O4" s="4"/>
      <c r="P4" s="5">
        <v>2.5</v>
      </c>
      <c r="Q4" s="6">
        <f t="shared" si="4"/>
        <v>0.5108256238</v>
      </c>
    </row>
    <row r="5">
      <c r="A5" s="2">
        <v>1.0</v>
      </c>
      <c r="B5" s="7">
        <f t="shared" ref="B5:C5" si="5">((B$3^$A5)/FACT($A5))*EXP(-B$3)</f>
        <v>0.3496915163</v>
      </c>
      <c r="C5" s="7">
        <f t="shared" si="5"/>
        <v>0.2852567779</v>
      </c>
      <c r="D5" s="2">
        <v>1.5</v>
      </c>
      <c r="E5" s="7">
        <f>1/(B2*(C2+C5)+B5*C2)</f>
        <v>3.757316699</v>
      </c>
      <c r="J5" s="3"/>
      <c r="K5" s="4"/>
      <c r="L5" s="5">
        <v>8.0</v>
      </c>
      <c r="M5" s="6">
        <f t="shared" si="3"/>
        <v>0.1335313926</v>
      </c>
      <c r="N5" s="3"/>
      <c r="O5" s="4"/>
      <c r="P5" s="5">
        <v>3.8</v>
      </c>
      <c r="Q5" s="6">
        <f t="shared" si="4"/>
        <v>0.3053816496</v>
      </c>
    </row>
    <row r="6">
      <c r="A6" s="2">
        <v>2.0</v>
      </c>
      <c r="B6" s="7">
        <f t="shared" ref="B6:C6" si="6">((B$3^$A6)/FACT($A6))*EXP(-B$3)</f>
        <v>0.1249134636</v>
      </c>
      <c r="C6" s="7">
        <f t="shared" si="6"/>
        <v>0.2698529119</v>
      </c>
      <c r="D6" s="2">
        <v>2.5</v>
      </c>
      <c r="E6" s="7">
        <f>1/(B2*(C2+C5+C6)+B5*(C2+C5)+B6*C2)</f>
        <v>1.934913981</v>
      </c>
      <c r="F6" s="2" t="s">
        <v>12</v>
      </c>
      <c r="J6" s="3"/>
      <c r="K6" s="4"/>
      <c r="L6" s="5">
        <v>10.0</v>
      </c>
      <c r="M6" s="6">
        <f t="shared" si="3"/>
        <v>0.1053605157</v>
      </c>
      <c r="N6" s="3"/>
      <c r="O6" s="4"/>
      <c r="P6" s="5">
        <v>8.0</v>
      </c>
      <c r="Q6" s="6">
        <f t="shared" si="4"/>
        <v>0.1335313926</v>
      </c>
    </row>
    <row r="7">
      <c r="A7" s="2">
        <v>3.0</v>
      </c>
      <c r="B7" s="7">
        <f t="shared" ref="B7:C7" si="7">((B$3^$A7)/FACT($A7))*EXP(-B$3)</f>
        <v>0.02974692964</v>
      </c>
      <c r="C7" s="7">
        <f t="shared" si="7"/>
        <v>0.1701872364</v>
      </c>
      <c r="D7" s="2">
        <v>3.5</v>
      </c>
      <c r="E7" s="7">
        <f>1/(B2*(C2+C5+C6+C7)+B5*(C2+C5+C6)+B6*(C2+C5)+B7*C2)</f>
        <v>1.361277733</v>
      </c>
      <c r="F7" s="7" t="str">
        <f>B1</f>
        <v>hellas verone</v>
      </c>
      <c r="G7" s="2" t="s">
        <v>13</v>
      </c>
      <c r="H7" s="7" t="str">
        <f>C1</f>
        <v>milan</v>
      </c>
      <c r="J7" s="3"/>
      <c r="K7" s="4"/>
      <c r="L7" s="5">
        <v>15.0</v>
      </c>
      <c r="M7" s="6">
        <f t="shared" si="3"/>
        <v>0.06899287149</v>
      </c>
      <c r="N7" s="3"/>
      <c r="O7" s="4"/>
      <c r="P7" s="5">
        <v>8.0</v>
      </c>
      <c r="Q7" s="6">
        <f t="shared" si="4"/>
        <v>0.1335313926</v>
      </c>
    </row>
    <row r="8">
      <c r="A8" s="2">
        <v>4.0</v>
      </c>
      <c r="B8" s="7">
        <f t="shared" ref="B8:C8" si="8">((B$3^$A8)/FACT($A8))*EXP(-B$3)</f>
        <v>0.005312957049</v>
      </c>
      <c r="C8" s="7">
        <f t="shared" si="8"/>
        <v>0.08049856282</v>
      </c>
      <c r="D8" s="2">
        <v>4.5</v>
      </c>
      <c r="E8" s="7">
        <f>1/(B2*(C2+C5+C6+C7+C8)+B5*(C2+C5+C6+C7)+B6*(C2+C5+C6)+B7*(C2+C5)+B8*C2)</f>
        <v>1.140883264</v>
      </c>
      <c r="F8" s="7">
        <f>B5*C2+B6*(C5+C2)+B7*(C6+C5+C2)+B8*(C7+C6+C5+C2)+B9*(C8+C7+C6+C5+C2)+B10*(C9+C8+C7+C6+C5+C2)+B11*(C10+C9+C8+C7+C6+C5+C2)+B12*(C11+C10+C9+C8+C7+C6+C5+C2)</f>
        <v>0.1336662477</v>
      </c>
      <c r="G8" s="7">
        <f>B2*C2+B5*C5+B6*C6+B7*C7+B8*C8+B9*C9+B10*C10+B11*C11+B12*C12</f>
        <v>0.2127725897</v>
      </c>
      <c r="H8" s="7">
        <f>C5*B2+C6*(B5+B2)+C7*(B6+B5+B2)+C8*(B7+B6+B5+B2)+C9*(B8+B7+B6+B5+B2)+C10*(B9+B8+B7+B6+B5+B2)+C11*(B10+B9+B7+B8+B6+B5+B2)</f>
        <v>0.65278863</v>
      </c>
      <c r="J8" s="3"/>
      <c r="K8" s="4"/>
      <c r="L8" s="5">
        <v>15.0</v>
      </c>
      <c r="M8" s="6">
        <f t="shared" si="3"/>
        <v>0.06899287149</v>
      </c>
      <c r="N8" s="3"/>
      <c r="O8" s="4"/>
      <c r="P8" s="5">
        <v>9.0</v>
      </c>
      <c r="Q8" s="6">
        <f t="shared" si="4"/>
        <v>0.1177830357</v>
      </c>
    </row>
    <row r="9">
      <c r="A9" s="2">
        <v>5.0</v>
      </c>
      <c r="B9" s="7">
        <f t="shared" ref="B9:C9" si="9">((B$3^$A9)/FACT($A9))*EXP(-B$3)</f>
        <v>0.0007591375097</v>
      </c>
      <c r="C9" s="7">
        <f t="shared" si="9"/>
        <v>0.03046065617</v>
      </c>
      <c r="F9" s="9">
        <f t="shared" ref="F9:H9" si="10">1/F8</f>
        <v>7.481320209</v>
      </c>
      <c r="G9" s="9">
        <f t="shared" si="10"/>
        <v>4.699853499</v>
      </c>
      <c r="H9" s="9">
        <f t="shared" si="10"/>
        <v>1.531889426</v>
      </c>
      <c r="J9" s="3"/>
      <c r="K9" s="4"/>
      <c r="L9" s="5">
        <v>15.0</v>
      </c>
      <c r="M9" s="6">
        <f t="shared" si="3"/>
        <v>0.06899287149</v>
      </c>
      <c r="N9" s="3"/>
      <c r="O9" s="4"/>
      <c r="P9" s="5">
        <v>7.0</v>
      </c>
      <c r="Q9" s="6">
        <f t="shared" si="4"/>
        <v>0.1541506798</v>
      </c>
    </row>
    <row r="10">
      <c r="A10" s="2">
        <v>6.0</v>
      </c>
      <c r="B10" s="7">
        <f t="shared" ref="B10:C10" si="11">((B$3^$A10)/FACT($A10))*EXP(-B$3)</f>
        <v>0.00009039061695</v>
      </c>
      <c r="C10" s="7">
        <f t="shared" si="11"/>
        <v>0.009605260246</v>
      </c>
      <c r="J10" s="3"/>
      <c r="K10" s="4"/>
      <c r="L10" s="5">
        <v>15.0</v>
      </c>
      <c r="M10" s="6">
        <f t="shared" si="3"/>
        <v>0.06899287149</v>
      </c>
      <c r="N10" s="3"/>
      <c r="O10" s="4"/>
      <c r="P10" s="5">
        <v>10.0</v>
      </c>
      <c r="Q10" s="6">
        <f t="shared" si="4"/>
        <v>0.1053605157</v>
      </c>
    </row>
    <row r="11">
      <c r="A11" s="2">
        <v>7.0</v>
      </c>
      <c r="B11" s="7">
        <f t="shared" ref="B11:C11" si="12">((B$3^$A11)/FACT($A11))*EXP(-B$3)</f>
        <v>0.000009225277968</v>
      </c>
      <c r="C11" s="7">
        <f t="shared" si="12"/>
        <v>0.002596164627</v>
      </c>
      <c r="J11" s="3"/>
      <c r="K11" s="4"/>
      <c r="L11" s="5">
        <v>12.0</v>
      </c>
      <c r="M11" s="6">
        <f t="shared" si="3"/>
        <v>0.08701137699</v>
      </c>
      <c r="N11" s="3"/>
      <c r="O11" s="4"/>
      <c r="P11" s="5">
        <v>12.0</v>
      </c>
      <c r="Q11" s="6">
        <f t="shared" si="4"/>
        <v>0.08701137699</v>
      </c>
    </row>
    <row r="12">
      <c r="A12" s="2">
        <v>8.0</v>
      </c>
      <c r="B12" s="7">
        <f t="shared" ref="B12:C12" si="13">((B$3^$A12)/FACT($A12))*EXP(-B$3)</f>
        <v>0.0000008238414217</v>
      </c>
      <c r="C12" s="7">
        <f t="shared" si="13"/>
        <v>0.0006139929342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milan</v>
      </c>
      <c r="J13" s="3"/>
      <c r="K13" s="3"/>
      <c r="L13" s="3" t="s">
        <v>14</v>
      </c>
      <c r="M13" s="6">
        <f>SUM(M2:M11)</f>
        <v>1.305174323</v>
      </c>
      <c r="N13" s="3"/>
      <c r="O13" s="3"/>
      <c r="P13" s="3" t="s">
        <v>14</v>
      </c>
      <c r="Q13" s="6">
        <f>SUM(Q2:Q11)</f>
        <v>2.777523957</v>
      </c>
    </row>
    <row r="14">
      <c r="A14" s="7" t="str">
        <f>B1</f>
        <v>hellas verone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1.080177203</v>
      </c>
      <c r="N14" s="3"/>
      <c r="O14" s="3"/>
      <c r="P14" s="3" t="s">
        <v>15</v>
      </c>
      <c r="Q14" s="6">
        <f>SUM(Q2:Q8)</f>
        <v>2.431001385</v>
      </c>
    </row>
    <row r="15">
      <c r="A15" s="2">
        <v>0.0</v>
      </c>
      <c r="B15" s="7">
        <f>B2*$C$2</f>
        <v>0.07379820291</v>
      </c>
      <c r="C15" s="7">
        <f>C5*B2</f>
        <v>0.1396261999</v>
      </c>
      <c r="D15" s="7">
        <f>C6*B2</f>
        <v>0.1320863851</v>
      </c>
      <c r="E15" s="7">
        <f>C7*B2</f>
        <v>0.08330248021</v>
      </c>
      <c r="F15" s="7">
        <f>C8*B2</f>
        <v>0.03940207314</v>
      </c>
      <c r="G15" s="7">
        <f>C9*B2</f>
        <v>0.01490974448</v>
      </c>
      <c r="H15" s="7">
        <f>$C$10*B2</f>
        <v>0.004701539425</v>
      </c>
    </row>
    <row r="16">
      <c r="A16" s="2">
        <v>1.0</v>
      </c>
      <c r="B16" s="7">
        <f t="shared" ref="B16:B21" si="14">B5*$C$2</f>
        <v>0.05272297843</v>
      </c>
      <c r="C16" s="7">
        <f t="shared" ref="C16:C21" si="15">$C$5*B5</f>
        <v>0.09975187519</v>
      </c>
      <c r="D16" s="7">
        <f t="shared" ref="D16:D21" si="16">$C$6*B5</f>
        <v>0.09436527393</v>
      </c>
      <c r="E16" s="7">
        <f t="shared" ref="E16:E21" si="17">$C$7*B5</f>
        <v>0.05951303276</v>
      </c>
      <c r="F16" s="7">
        <f t="shared" ref="F16:F21" si="18">$C$8*B5</f>
        <v>0.02814966449</v>
      </c>
      <c r="G16" s="7">
        <f t="shared" ref="G16:G21" si="19">$C$9*B5</f>
        <v>0.01065183304</v>
      </c>
      <c r="H16" s="7">
        <f t="shared" ref="H16:H21" si="20">$C$10*B5</f>
        <v>0.00335887802</v>
      </c>
    </row>
    <row r="17">
      <c r="A17" s="2">
        <v>2.0</v>
      </c>
      <c r="B17" s="7">
        <f t="shared" si="14"/>
        <v>0.01883319881</v>
      </c>
      <c r="C17" s="7">
        <f t="shared" si="15"/>
        <v>0.03563241215</v>
      </c>
      <c r="D17" s="7">
        <f t="shared" si="16"/>
        <v>0.03370826189</v>
      </c>
      <c r="E17" s="7">
        <f t="shared" si="17"/>
        <v>0.02125867717</v>
      </c>
      <c r="F17" s="7">
        <f t="shared" si="18"/>
        <v>0.0100553543</v>
      </c>
      <c r="G17" s="7">
        <f t="shared" si="19"/>
        <v>0.003804946067</v>
      </c>
      <c r="H17" s="7">
        <f t="shared" si="20"/>
        <v>0.001199826326</v>
      </c>
    </row>
    <row r="18">
      <c r="A18" s="2">
        <v>3.0</v>
      </c>
      <c r="B18" s="7">
        <f t="shared" si="14"/>
        <v>0.004484943604</v>
      </c>
      <c r="C18" s="7">
        <f t="shared" si="15"/>
        <v>0.0084855133</v>
      </c>
      <c r="D18" s="7">
        <f t="shared" si="16"/>
        <v>0.008027295581</v>
      </c>
      <c r="E18" s="7">
        <f t="shared" si="17"/>
        <v>0.005062547747</v>
      </c>
      <c r="F18" s="7">
        <f t="shared" si="18"/>
        <v>0.002394585084</v>
      </c>
      <c r="G18" s="7">
        <f t="shared" si="19"/>
        <v>0.0009061109959</v>
      </c>
      <c r="H18" s="7">
        <f t="shared" si="20"/>
        <v>0.0002857270007</v>
      </c>
    </row>
    <row r="19">
      <c r="A19" s="2">
        <v>4.0</v>
      </c>
      <c r="B19" s="7">
        <f t="shared" si="14"/>
        <v>0.0008010343598</v>
      </c>
      <c r="C19" s="7">
        <f t="shared" si="15"/>
        <v>0.001515557009</v>
      </c>
      <c r="D19" s="7">
        <f t="shared" si="16"/>
        <v>0.00143371693</v>
      </c>
      <c r="E19" s="7">
        <f t="shared" si="17"/>
        <v>0.0009041974774</v>
      </c>
      <c r="F19" s="7">
        <f t="shared" si="18"/>
        <v>0.0004276854068</v>
      </c>
      <c r="G19" s="7">
        <f t="shared" si="19"/>
        <v>0.0001618361579</v>
      </c>
      <c r="H19" s="7">
        <f t="shared" si="20"/>
        <v>0.00005103233514</v>
      </c>
    </row>
    <row r="20">
      <c r="A20" s="2">
        <v>5.0</v>
      </c>
      <c r="B20" s="7">
        <f t="shared" si="14"/>
        <v>0.0001144551374</v>
      </c>
      <c r="C20" s="7">
        <f t="shared" si="15"/>
        <v>0.00021654912</v>
      </c>
      <c r="D20" s="7">
        <f t="shared" si="16"/>
        <v>0.0002048554675</v>
      </c>
      <c r="E20" s="7">
        <f t="shared" si="17"/>
        <v>0.0001291955148</v>
      </c>
      <c r="F20" s="7">
        <f t="shared" si="18"/>
        <v>0.00006110947852</v>
      </c>
      <c r="G20" s="7">
        <f t="shared" si="19"/>
        <v>0.00002312382667</v>
      </c>
      <c r="H20" s="7">
        <f t="shared" si="20"/>
        <v>0.000007291713343</v>
      </c>
    </row>
    <row r="21">
      <c r="A21" s="2">
        <v>6.0</v>
      </c>
      <c r="B21" s="7">
        <f t="shared" si="14"/>
        <v>0.00001362819035</v>
      </c>
      <c r="C21" s="7">
        <f t="shared" si="15"/>
        <v>0.00002578453614</v>
      </c>
      <c r="D21" s="7">
        <f t="shared" si="16"/>
        <v>0.00002439217119</v>
      </c>
      <c r="E21" s="7">
        <f t="shared" si="17"/>
        <v>0.0000153833293</v>
      </c>
      <c r="F21" s="7">
        <f t="shared" si="18"/>
        <v>0.000007276314757</v>
      </c>
      <c r="G21" s="7">
        <f t="shared" si="19"/>
        <v>0.000002753357504</v>
      </c>
      <c r="H21" s="7">
        <f t="shared" si="20"/>
        <v>0.0000008682253997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0.0000001242105441</v>
      </c>
      <c r="C25" s="10">
        <f>C15*B12</f>
        <v>0.000000115029847</v>
      </c>
      <c r="D25" s="10">
        <f>C16*B12</f>
        <v>0.00000008217972667</v>
      </c>
      <c r="E25" s="10">
        <f>C17*B12</f>
        <v>0.00000002935545708</v>
      </c>
      <c r="F25" s="10">
        <f>C18*B12</f>
        <v>0.000000006990717341</v>
      </c>
      <c r="G25" s="10">
        <f>C19*B12</f>
        <v>0.000000001248578641</v>
      </c>
      <c r="H25" s="10">
        <f>$C$10*B12</f>
        <v>0.000000007913211258</v>
      </c>
    </row>
    <row r="26">
      <c r="A26" s="2">
        <v>1.0</v>
      </c>
      <c r="B26" s="10">
        <f t="shared" ref="B26:B31" si="21">B15*$C$2</f>
        <v>0.01112655263</v>
      </c>
      <c r="C26" s="10">
        <f t="shared" ref="C26:C31" si="22">$C$5*B15</f>
        <v>0.02105143758</v>
      </c>
      <c r="D26" s="10">
        <f>$C$6*B15</f>
        <v>0.01991465995</v>
      </c>
      <c r="E26" s="10">
        <f>$C$7*B15</f>
        <v>0.01255951221</v>
      </c>
      <c r="F26" s="10">
        <f>$C$8*B15</f>
        <v>0.005940649274</v>
      </c>
      <c r="G26" s="10">
        <f>$C$9*B15</f>
        <v>0.002247941685</v>
      </c>
      <c r="H26" s="10">
        <f>$C$10*B15</f>
        <v>0.0007088509447</v>
      </c>
    </row>
    <row r="27">
      <c r="A27" s="2">
        <v>2.0</v>
      </c>
      <c r="B27" s="10">
        <f t="shared" si="21"/>
        <v>0.007949041726</v>
      </c>
      <c r="C27" s="10">
        <f t="shared" si="22"/>
        <v>0.01503958695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0.002839480766</v>
      </c>
      <c r="C28" s="10">
        <f t="shared" si="22"/>
        <v>0.005372297609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0.0006761948</v>
      </c>
      <c r="C29" s="10">
        <f t="shared" si="22"/>
        <v>0.001279360562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0.0001207719241</v>
      </c>
      <c r="C30" s="10">
        <f t="shared" si="22"/>
        <v>0.0002285004804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0.00001725639731</v>
      </c>
      <c r="C31" s="10">
        <f t="shared" si="22"/>
        <v>0.00003264910371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hellas verone</v>
      </c>
      <c r="J33" s="2" t="s">
        <v>17</v>
      </c>
      <c r="K33" s="7" t="str">
        <f>B13</f>
        <v>milan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0.00000001872721966</v>
      </c>
      <c r="C36" s="10">
        <f t="shared" ref="C36:C41" si="24">$C$5*B25</f>
        <v>0.00000003543189959</v>
      </c>
      <c r="D36" s="10">
        <f>$C$6*B25</f>
        <v>0.00000003351857701</v>
      </c>
      <c r="E36" s="10">
        <f>$C$7*B25</f>
        <v>0.00000002113904923</v>
      </c>
      <c r="F36" s="10">
        <f>$C$8*B25</f>
        <v>0.000000009998770288</v>
      </c>
      <c r="G36" s="10">
        <f>$C$9*B25</f>
        <v>0.000000003783534677</v>
      </c>
      <c r="H36" s="10">
        <f>$C$10*B25</f>
        <v>0.000000001193074601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0.001677549975</v>
      </c>
      <c r="C37" s="10">
        <f t="shared" si="24"/>
        <v>0.003173924552</v>
      </c>
      <c r="D37" s="7">
        <f t="shared" ref="D37:H37" si="25">D27*D17</f>
        <v>0.005618043648</v>
      </c>
      <c r="E37" s="7">
        <f t="shared" si="25"/>
        <v>0.002125867717</v>
      </c>
      <c r="F37" s="7">
        <f t="shared" si="25"/>
        <v>0.0006703569533</v>
      </c>
      <c r="G37" s="7">
        <f t="shared" si="25"/>
        <v>0.0001811879079</v>
      </c>
      <c r="H37" s="7">
        <f t="shared" si="25"/>
        <v>0.00004285094023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0.005618043648</v>
      </c>
      <c r="N37" s="7">
        <f>E27*D18</f>
        <v>0.0008027295581</v>
      </c>
      <c r="O37" s="7">
        <f>F27*D19</f>
        <v>0.00009558112869</v>
      </c>
      <c r="P37" s="7">
        <f>G27*D20</f>
        <v>0.000009755022262</v>
      </c>
      <c r="Q37" s="7">
        <f>H27*D21</f>
        <v>0.0000008711489711</v>
      </c>
    </row>
    <row r="38">
      <c r="A38" s="2">
        <v>3.0</v>
      </c>
      <c r="B38" s="10">
        <f t="shared" si="23"/>
        <v>0.00119847676</v>
      </c>
      <c r="C38" s="10">
        <f t="shared" si="24"/>
        <v>0.00226751803</v>
      </c>
      <c r="D38" s="10"/>
      <c r="E38" s="7">
        <f t="shared" ref="E38:H38" si="28">E28*E18</f>
        <v>0.001518764324</v>
      </c>
      <c r="F38" s="7">
        <f t="shared" si="28"/>
        <v>0.0004789170168</v>
      </c>
      <c r="G38" s="7">
        <f t="shared" si="28"/>
        <v>0.000129444428</v>
      </c>
      <c r="H38" s="7">
        <f t="shared" si="28"/>
        <v>0.00003061360722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0.001518764324</v>
      </c>
      <c r="O38" s="7">
        <f>F28*E19</f>
        <v>0.0001808394955</v>
      </c>
      <c r="P38" s="7">
        <f>G28*E20</f>
        <v>0.00001845650212</v>
      </c>
      <c r="Q38" s="7">
        <f>H28*E21</f>
        <v>0.000001648213853</v>
      </c>
    </row>
    <row r="39">
      <c r="A39" s="2">
        <v>4.0</v>
      </c>
      <c r="B39" s="10">
        <f t="shared" si="23"/>
        <v>0.0004281084218</v>
      </c>
      <c r="C39" s="10">
        <f t="shared" si="24"/>
        <v>0.0008099811341</v>
      </c>
      <c r="D39" s="10"/>
      <c r="E39" s="10"/>
      <c r="F39" s="7">
        <f t="shared" ref="F39:H39" si="29">F29*F19</f>
        <v>0.0001710741627</v>
      </c>
      <c r="G39" s="7">
        <f t="shared" si="29"/>
        <v>0.00004623890227</v>
      </c>
      <c r="H39" s="7">
        <f t="shared" si="29"/>
        <v>0.00001093550039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0.0001710741627</v>
      </c>
      <c r="P39" s="7">
        <f>G29*F20</f>
        <v>0.000017459851</v>
      </c>
      <c r="Q39" s="7">
        <f>H29*F21</f>
        <v>0.000001559210305</v>
      </c>
    </row>
    <row r="40">
      <c r="A40" s="2">
        <v>5.0</v>
      </c>
      <c r="B40" s="10">
        <f t="shared" si="23"/>
        <v>0.0001019498678</v>
      </c>
      <c r="C40" s="10">
        <f t="shared" si="24"/>
        <v>0.0001928891498</v>
      </c>
      <c r="D40" s="10"/>
      <c r="E40" s="10"/>
      <c r="F40" s="10"/>
      <c r="G40" s="7">
        <f t="shared" ref="G40:H40" si="30">G30*G20</f>
        <v>0.00001101134603</v>
      </c>
      <c r="H40" s="7">
        <f t="shared" si="30"/>
        <v>0.000002604183337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0.00001101134603</v>
      </c>
      <c r="Q40" s="7">
        <f>H30*G21</f>
        <v>0.0000009833419658</v>
      </c>
    </row>
    <row r="41">
      <c r="A41" s="2">
        <v>6.0</v>
      </c>
      <c r="B41" s="10">
        <f t="shared" si="23"/>
        <v>0.00001820877903</v>
      </c>
      <c r="C41" s="10">
        <f t="shared" si="24"/>
        <v>0.00003445100993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44</v>
      </c>
      <c r="C1" s="1" t="s">
        <v>45</v>
      </c>
      <c r="D1" s="2" t="s">
        <v>2</v>
      </c>
      <c r="G1" s="2" t="str">
        <f t="shared" ref="G1:H1" si="1">B1</f>
        <v>everton</v>
      </c>
      <c r="H1" s="2" t="str">
        <f t="shared" si="1"/>
        <v>liverpool</v>
      </c>
      <c r="J1" s="3" t="str">
        <f>G1</f>
        <v>everton</v>
      </c>
      <c r="K1" s="3" t="s">
        <v>3</v>
      </c>
      <c r="L1" s="3" t="s">
        <v>4</v>
      </c>
      <c r="M1" s="3" t="s">
        <v>5</v>
      </c>
      <c r="N1" s="3" t="str">
        <f>H1</f>
        <v>liverpool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0.292369228898715</v>
      </c>
      <c r="C2" s="1">
        <v>0.20929720576531927</v>
      </c>
      <c r="D2" s="2" t="s">
        <v>7</v>
      </c>
      <c r="E2" s="1">
        <v>2.5</v>
      </c>
      <c r="F2" s="2" t="s">
        <v>8</v>
      </c>
      <c r="G2" s="1">
        <v>3.54</v>
      </c>
      <c r="H2" s="1">
        <v>2.35</v>
      </c>
      <c r="J2" s="3"/>
      <c r="K2" s="4"/>
      <c r="L2" s="5">
        <v>3.5</v>
      </c>
      <c r="M2" s="6">
        <f t="shared" ref="M2:M11" si="3">IFERROR(-ln(1-(1/L2)),0)</f>
        <v>0.3364722366</v>
      </c>
      <c r="N2" s="3"/>
      <c r="O2" s="4"/>
      <c r="P2" s="5">
        <v>2.25</v>
      </c>
      <c r="Q2" s="6">
        <f t="shared" ref="Q2:Q11" si="4">IFERROR(-ln(1-(1/P2)),0)</f>
        <v>0.5877866649</v>
      </c>
    </row>
    <row r="3">
      <c r="A3" s="2" t="s">
        <v>5</v>
      </c>
      <c r="B3" s="7">
        <f t="shared" ref="B3:C3" si="2">-ln(B2)</f>
        <v>1.229737793</v>
      </c>
      <c r="C3" s="7">
        <f t="shared" si="2"/>
        <v>1.564</v>
      </c>
      <c r="D3" s="2" t="s">
        <v>9</v>
      </c>
      <c r="E3" s="1">
        <v>1.89</v>
      </c>
      <c r="F3" s="2" t="s">
        <v>10</v>
      </c>
      <c r="G3" s="8">
        <f>1/(1/G2+SUM(D37:H40))</f>
        <v>3.317093759</v>
      </c>
      <c r="H3" s="8">
        <f>1/(1/H2+SUM(M37:Q40))</f>
        <v>2.25663386</v>
      </c>
      <c r="J3" s="3"/>
      <c r="K3" s="4"/>
      <c r="L3" s="5">
        <v>3.5</v>
      </c>
      <c r="M3" s="6">
        <f t="shared" si="3"/>
        <v>0.3364722366</v>
      </c>
      <c r="N3" s="3"/>
      <c r="O3" s="4"/>
      <c r="P3" s="5">
        <v>2.75</v>
      </c>
      <c r="Q3" s="6">
        <f t="shared" si="4"/>
        <v>0.4519851237</v>
      </c>
    </row>
    <row r="4">
      <c r="A4" s="2" t="s">
        <v>11</v>
      </c>
      <c r="J4" s="3"/>
      <c r="K4" s="4"/>
      <c r="L4" s="5">
        <v>3.25</v>
      </c>
      <c r="M4" s="6">
        <f t="shared" si="3"/>
        <v>0.3677247801</v>
      </c>
      <c r="N4" s="3"/>
      <c r="O4" s="4"/>
      <c r="P4" s="5">
        <v>3.25</v>
      </c>
      <c r="Q4" s="6">
        <f t="shared" si="4"/>
        <v>0.3677247801</v>
      </c>
    </row>
    <row r="5">
      <c r="A5" s="2">
        <v>1.0</v>
      </c>
      <c r="B5" s="7">
        <f t="shared" ref="B5:C5" si="5">((B$3^$A5)/FACT($A5))*EXP(-B$3)</f>
        <v>0.3595374903</v>
      </c>
      <c r="C5" s="7">
        <f t="shared" si="5"/>
        <v>0.3273408298</v>
      </c>
      <c r="D5" s="2">
        <v>1.5</v>
      </c>
      <c r="E5" s="7">
        <f>1/(B2*(C2+C5)+B5*C2)</f>
        <v>4.3076221</v>
      </c>
      <c r="J5" s="3"/>
      <c r="K5" s="4"/>
      <c r="L5" s="5">
        <v>3.75</v>
      </c>
      <c r="M5" s="6">
        <f t="shared" si="3"/>
        <v>0.3101549283</v>
      </c>
      <c r="N5" s="3"/>
      <c r="O5" s="4"/>
      <c r="P5" s="5">
        <v>3.75</v>
      </c>
      <c r="Q5" s="6">
        <f t="shared" si="4"/>
        <v>0.3101549283</v>
      </c>
    </row>
    <row r="6">
      <c r="A6" s="2">
        <v>2.0</v>
      </c>
      <c r="B6" s="7">
        <f t="shared" ref="B6:C6" si="6">((B$3^$A6)/FACT($A6))*EXP(-B$3)</f>
        <v>0.2210684199</v>
      </c>
      <c r="C6" s="7">
        <f t="shared" si="6"/>
        <v>0.2559805289</v>
      </c>
      <c r="D6" s="2">
        <v>2.5</v>
      </c>
      <c r="E6" s="7">
        <f>1/(B2*(C2+C5+C6)+B5*(C2+C5)+B6*C2)</f>
        <v>2.123377699</v>
      </c>
      <c r="F6" s="2" t="s">
        <v>12</v>
      </c>
      <c r="J6" s="3"/>
      <c r="K6" s="4"/>
      <c r="L6" s="5">
        <v>8.0</v>
      </c>
      <c r="M6" s="6">
        <f t="shared" si="3"/>
        <v>0.1335313926</v>
      </c>
      <c r="N6" s="3"/>
      <c r="O6" s="4"/>
      <c r="P6" s="5">
        <v>5.0</v>
      </c>
      <c r="Q6" s="6">
        <f t="shared" si="4"/>
        <v>0.2231435513</v>
      </c>
    </row>
    <row r="7">
      <c r="A7" s="2">
        <v>3.0</v>
      </c>
      <c r="B7" s="7">
        <f t="shared" ref="B7:C7" si="7">((B$3^$A7)/FACT($A7))*EXP(-B$3)</f>
        <v>0.09061873026</v>
      </c>
      <c r="C7" s="7">
        <f t="shared" si="7"/>
        <v>0.1334511824</v>
      </c>
      <c r="D7" s="2">
        <v>3.5</v>
      </c>
      <c r="E7" s="7">
        <f>1/(B2*(C2+C5+C6+C7)+B5*(C2+C5+C6)+B6*(C2+C5)+B7*C2)</f>
        <v>1.442313884</v>
      </c>
      <c r="F7" s="7" t="str">
        <f>B1</f>
        <v>everton</v>
      </c>
      <c r="G7" s="2" t="s">
        <v>13</v>
      </c>
      <c r="H7" s="7" t="str">
        <f>C1</f>
        <v>liverpool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10.0</v>
      </c>
      <c r="Q7" s="6">
        <f t="shared" si="4"/>
        <v>0.1053605157</v>
      </c>
    </row>
    <row r="8">
      <c r="A8" s="2">
        <v>4.0</v>
      </c>
      <c r="B8" s="7">
        <f t="shared" ref="B8:C8" si="8">((B$3^$A8)/FACT($A8))*EXP(-B$3)</f>
        <v>0.02785931934</v>
      </c>
      <c r="C8" s="7">
        <f t="shared" si="8"/>
        <v>0.05217941232</v>
      </c>
      <c r="D8" s="2">
        <v>4.5</v>
      </c>
      <c r="E8" s="7">
        <f>1/(B2*(C2+C5+C6+C7+C8)+B5*(C2+C5+C6+C7)+B6*(C2+C5+C6)+B7*(C2+C5)+B8*C2)</f>
        <v>1.178342054</v>
      </c>
      <c r="F8" s="7">
        <f>B5*C2+B6*(C5+C2)+B7*(C6+C5+C2)+B8*(C7+C6+C5+C2)+B9*(C8+C7+C6+C5+C2)+B10*(C9+C8+C7+C6+C5+C2)+B11*(C10+C9+C8+C7+C6+C5+C2)+B12*(C11+C10+C9+C8+C7+C6+C5+C2)</f>
        <v>0.2998936305</v>
      </c>
      <c r="G8" s="7">
        <f>B2*C2+B5*C5+B6*C6+B7*C7+B8*C8+B9*C9+B10*C10+B11*C11+B12*C12</f>
        <v>0.2491374855</v>
      </c>
      <c r="H8" s="7">
        <f>C5*B2+C6*(B5+B2)+C7*(B6+B5+B2)+C8*(B7+B6+B5+B2)+C9*(B8+B7+B6+B5+B2)+C10*(B9+B8+B7+B6+B5+B2)+C11*(B10+B9+B7+B8+B6+B5+B2)</f>
        <v>0.4507389851</v>
      </c>
      <c r="J8" s="3"/>
      <c r="K8" s="4"/>
      <c r="L8" s="5">
        <v>10.0</v>
      </c>
      <c r="M8" s="6">
        <f t="shared" si="3"/>
        <v>0.1053605157</v>
      </c>
      <c r="N8" s="3"/>
      <c r="O8" s="4"/>
      <c r="P8" s="5">
        <v>10.0</v>
      </c>
      <c r="Q8" s="6">
        <f t="shared" si="4"/>
        <v>0.1053605157</v>
      </c>
    </row>
    <row r="9">
      <c r="A9" s="2">
        <v>5.0</v>
      </c>
      <c r="B9" s="7">
        <f t="shared" ref="B9:C9" si="9">((B$3^$A9)/FACT($A9))*EXP(-B$3)</f>
        <v>0.006851931575</v>
      </c>
      <c r="C9" s="7">
        <f t="shared" si="9"/>
        <v>0.01632172017</v>
      </c>
      <c r="F9" s="9">
        <f t="shared" ref="F9:H9" si="10">1/F8</f>
        <v>3.334515636</v>
      </c>
      <c r="G9" s="9">
        <f t="shared" si="10"/>
        <v>4.013848009</v>
      </c>
      <c r="H9" s="9">
        <f t="shared" si="10"/>
        <v>2.218578896</v>
      </c>
      <c r="J9" s="3"/>
      <c r="K9" s="4"/>
      <c r="L9" s="5">
        <v>12.0</v>
      </c>
      <c r="M9" s="6">
        <f t="shared" si="3"/>
        <v>0.08701137699</v>
      </c>
      <c r="N9" s="3"/>
      <c r="O9" s="4"/>
      <c r="P9" s="5">
        <v>12.0</v>
      </c>
      <c r="Q9" s="6">
        <f t="shared" si="4"/>
        <v>0.08701137699</v>
      </c>
    </row>
    <row r="10">
      <c r="A10" s="2">
        <v>6.0</v>
      </c>
      <c r="B10" s="7">
        <f t="shared" ref="B10:C10" si="11">((B$3^$A10)/FACT($A10))*EXP(-B$3)</f>
        <v>0.001404346535</v>
      </c>
      <c r="C10" s="7">
        <f t="shared" si="11"/>
        <v>0.004254528392</v>
      </c>
      <c r="J10" s="3"/>
      <c r="K10" s="4"/>
      <c r="L10" s="5">
        <v>15.0</v>
      </c>
      <c r="M10" s="6">
        <f t="shared" si="3"/>
        <v>0.06899287149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0.0002467111442</v>
      </c>
      <c r="C11" s="7">
        <f t="shared" si="12"/>
        <v>0.0009505832007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15.0</v>
      </c>
      <c r="Q11" s="6">
        <f t="shared" si="4"/>
        <v>0.06899287149</v>
      </c>
    </row>
    <row r="12">
      <c r="A12" s="2">
        <v>8.0</v>
      </c>
      <c r="B12" s="7">
        <f t="shared" ref="B12:C12" si="13">((B$3^$A12)/FACT($A12))*EXP(-B$3)</f>
        <v>0.00003792375224</v>
      </c>
      <c r="C12" s="7">
        <f t="shared" si="13"/>
        <v>0.0001858390157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liverpool</v>
      </c>
      <c r="J13" s="3"/>
      <c r="K13" s="3"/>
      <c r="L13" s="3" t="s">
        <v>14</v>
      </c>
      <c r="M13" s="6">
        <f>SUM(M2:M11)</f>
        <v>1.920073726</v>
      </c>
      <c r="N13" s="3"/>
      <c r="O13" s="3"/>
      <c r="P13" s="3" t="s">
        <v>14</v>
      </c>
      <c r="Q13" s="6">
        <f>SUM(Q2:Q11)</f>
        <v>2.3765132</v>
      </c>
    </row>
    <row r="14">
      <c r="A14" s="7" t="str">
        <f>B1</f>
        <v>everton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1.695076606</v>
      </c>
      <c r="N14" s="3"/>
      <c r="O14" s="3"/>
      <c r="P14" s="3" t="s">
        <v>15</v>
      </c>
      <c r="Q14" s="6">
        <f>SUM(Q2:Q8)</f>
        <v>2.15151608</v>
      </c>
    </row>
    <row r="15">
      <c r="A15" s="2">
        <v>0.0</v>
      </c>
      <c r="B15" s="7">
        <f>B2*$C$2</f>
        <v>0.06119206266</v>
      </c>
      <c r="C15" s="7">
        <f>C5*B2</f>
        <v>0.095704386</v>
      </c>
      <c r="D15" s="7">
        <f>C6*B2</f>
        <v>0.07484082985</v>
      </c>
      <c r="E15" s="7">
        <f>C7*B2</f>
        <v>0.0390170193</v>
      </c>
      <c r="F15" s="7">
        <f>C8*B2</f>
        <v>0.01525565454</v>
      </c>
      <c r="G15" s="7">
        <f>C9*B2</f>
        <v>0.004771968742</v>
      </c>
      <c r="H15" s="7">
        <f>$C$10*B2</f>
        <v>0.001243893185</v>
      </c>
    </row>
    <row r="16">
      <c r="A16" s="2">
        <v>1.0</v>
      </c>
      <c r="B16" s="7">
        <f t="shared" ref="B16:B21" si="14">B5*$C$2</f>
        <v>0.07525019208</v>
      </c>
      <c r="C16" s="7">
        <f t="shared" ref="C16:C21" si="15">$C$5*B5</f>
        <v>0.1176913004</v>
      </c>
      <c r="D16" s="7">
        <f t="shared" ref="D16:D21" si="16">$C$6*B5</f>
        <v>0.09203459693</v>
      </c>
      <c r="E16" s="7">
        <f t="shared" ref="E16:E21" si="17">$C$7*B5</f>
        <v>0.0479807032</v>
      </c>
      <c r="F16" s="7">
        <f t="shared" ref="F16:F21" si="18">$C$8*B5</f>
        <v>0.01876045495</v>
      </c>
      <c r="G16" s="7">
        <f t="shared" ref="G16:G21" si="19">$C$9*B5</f>
        <v>0.005868270308</v>
      </c>
      <c r="H16" s="7">
        <f t="shared" ref="H16:H21" si="20">$C$10*B5</f>
        <v>0.00152966246</v>
      </c>
    </row>
    <row r="17">
      <c r="A17" s="2">
        <v>2.0</v>
      </c>
      <c r="B17" s="7">
        <f t="shared" si="14"/>
        <v>0.04626900257</v>
      </c>
      <c r="C17" s="7">
        <f t="shared" si="15"/>
        <v>0.07236472001</v>
      </c>
      <c r="D17" s="7">
        <f t="shared" si="16"/>
        <v>0.05658921105</v>
      </c>
      <c r="E17" s="7">
        <f t="shared" si="17"/>
        <v>0.02950184203</v>
      </c>
      <c r="F17" s="7">
        <f t="shared" si="18"/>
        <v>0.01153522023</v>
      </c>
      <c r="G17" s="7">
        <f t="shared" si="19"/>
        <v>0.003608216889</v>
      </c>
      <c r="H17" s="7">
        <f t="shared" si="20"/>
        <v>0.000940541869</v>
      </c>
    </row>
    <row r="18">
      <c r="A18" s="2">
        <v>3.0</v>
      </c>
      <c r="B18" s="7">
        <f t="shared" si="14"/>
        <v>0.01896624703</v>
      </c>
      <c r="C18" s="7">
        <f t="shared" si="15"/>
        <v>0.02966321036</v>
      </c>
      <c r="D18" s="7">
        <f t="shared" si="16"/>
        <v>0.0231966305</v>
      </c>
      <c r="E18" s="7">
        <f t="shared" si="17"/>
        <v>0.0120931767</v>
      </c>
      <c r="F18" s="7">
        <f t="shared" si="18"/>
        <v>0.00472843209</v>
      </c>
      <c r="G18" s="7">
        <f t="shared" si="19"/>
        <v>0.001479053558</v>
      </c>
      <c r="H18" s="7">
        <f t="shared" si="20"/>
        <v>0.0003855399607</v>
      </c>
    </row>
    <row r="19">
      <c r="A19" s="2">
        <v>4.0</v>
      </c>
      <c r="B19" s="7">
        <f t="shared" si="14"/>
        <v>0.005830877692</v>
      </c>
      <c r="C19" s="7">
        <f t="shared" si="15"/>
        <v>0.00911949271</v>
      </c>
      <c r="D19" s="7">
        <f t="shared" si="16"/>
        <v>0.007131443299</v>
      </c>
      <c r="E19" s="7">
        <f t="shared" si="17"/>
        <v>0.003717859107</v>
      </c>
      <c r="F19" s="7">
        <f t="shared" si="18"/>
        <v>0.001453682911</v>
      </c>
      <c r="G19" s="7">
        <f t="shared" si="19"/>
        <v>0.0004547120145</v>
      </c>
      <c r="H19" s="7">
        <f t="shared" si="20"/>
        <v>0.0001185282651</v>
      </c>
    </row>
    <row r="20">
      <c r="A20" s="2">
        <v>5.0</v>
      </c>
      <c r="B20" s="7">
        <f t="shared" si="14"/>
        <v>0.001434090133</v>
      </c>
      <c r="C20" s="7">
        <f t="shared" si="15"/>
        <v>0.002242916968</v>
      </c>
      <c r="D20" s="7">
        <f t="shared" si="16"/>
        <v>0.001753961069</v>
      </c>
      <c r="E20" s="7">
        <f t="shared" si="17"/>
        <v>0.0009143983705</v>
      </c>
      <c r="F20" s="7">
        <f t="shared" si="18"/>
        <v>0.0003575297629</v>
      </c>
      <c r="G20" s="7">
        <f t="shared" si="19"/>
        <v>0.0001118353098</v>
      </c>
      <c r="H20" s="7">
        <f t="shared" si="20"/>
        <v>0.00002915173743</v>
      </c>
    </row>
    <row r="21">
      <c r="A21" s="2">
        <v>6.0</v>
      </c>
      <c r="B21" s="7">
        <f t="shared" si="14"/>
        <v>0.0002939258058</v>
      </c>
      <c r="C21" s="7">
        <f t="shared" si="15"/>
        <v>0.0004596999603</v>
      </c>
      <c r="D21" s="7">
        <f t="shared" si="16"/>
        <v>0.0003594853689</v>
      </c>
      <c r="E21" s="7">
        <f t="shared" si="17"/>
        <v>0.0001874117057</v>
      </c>
      <c r="F21" s="7">
        <f t="shared" si="18"/>
        <v>0.00007327797692</v>
      </c>
      <c r="G21" s="7">
        <f t="shared" si="19"/>
        <v>0.00002292135118</v>
      </c>
      <c r="H21" s="7">
        <f t="shared" si="20"/>
        <v>0.000005974832207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0.000007937335376</v>
      </c>
      <c r="C25" s="10">
        <f>C15*B12</f>
        <v>0.000003629469423</v>
      </c>
      <c r="D25" s="10">
        <f>C16*B12</f>
        <v>0.000004463295718</v>
      </c>
      <c r="E25" s="10">
        <f>C17*B12</f>
        <v>0.000002744341713</v>
      </c>
      <c r="F25" s="10">
        <f>C18*B12</f>
        <v>0.00000112494024</v>
      </c>
      <c r="G25" s="10">
        <f>C19*B12</f>
        <v>0.0000003458453821</v>
      </c>
      <c r="H25" s="10">
        <f>$C$10*B12</f>
        <v>0.0000001613476806</v>
      </c>
    </row>
    <row r="26">
      <c r="A26" s="2">
        <v>1.0</v>
      </c>
      <c r="B26" s="10">
        <f t="shared" ref="B26:B31" si="21">B15*$C$2</f>
        <v>0.01280732773</v>
      </c>
      <c r="C26" s="10">
        <f t="shared" ref="C26:C31" si="22">$C$5*B15</f>
        <v>0.02003066057</v>
      </c>
      <c r="D26" s="10">
        <f>$C$6*B15</f>
        <v>0.01566397657</v>
      </c>
      <c r="E26" s="10">
        <f>$C$7*B15</f>
        <v>0.008166153116</v>
      </c>
      <c r="F26" s="10">
        <f>$C$8*B15</f>
        <v>0.003192965868</v>
      </c>
      <c r="G26" s="10">
        <f>$C$9*B15</f>
        <v>0.0009987597236</v>
      </c>
      <c r="H26" s="10">
        <f>$C$10*B15</f>
        <v>0.000260343368</v>
      </c>
    </row>
    <row r="27">
      <c r="A27" s="2">
        <v>2.0</v>
      </c>
      <c r="B27" s="10">
        <f t="shared" si="21"/>
        <v>0.01574965494</v>
      </c>
      <c r="C27" s="10">
        <f t="shared" si="22"/>
        <v>0.02463246032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0.009683972951</v>
      </c>
      <c r="C28" s="10">
        <f t="shared" si="22"/>
        <v>0.01514573369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0.003969582508</v>
      </c>
      <c r="C29" s="10">
        <f t="shared" si="22"/>
        <v>0.006208427042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0.001220386408</v>
      </c>
      <c r="C30" s="10">
        <f t="shared" si="22"/>
        <v>0.001908684342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0.0003001510576</v>
      </c>
      <c r="C31" s="10">
        <f t="shared" si="22"/>
        <v>0.0004694362541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everton</v>
      </c>
      <c r="J33" s="2" t="s">
        <v>17</v>
      </c>
      <c r="K33" s="7" t="str">
        <f>B13</f>
        <v>liverpool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0.000001661262115</v>
      </c>
      <c r="C36" s="10">
        <f t="shared" ref="C36:C41" si="24">$C$5*B25</f>
        <v>0.000002598213948</v>
      </c>
      <c r="D36" s="10">
        <f>$C$6*B25</f>
        <v>0.000002031803308</v>
      </c>
      <c r="E36" s="10">
        <f>$C$7*B25</f>
        <v>0.000001059246791</v>
      </c>
      <c r="F36" s="10">
        <f>$C$8*B25</f>
        <v>0.0000004141654953</v>
      </c>
      <c r="G36" s="10">
        <f>$C$9*B25</f>
        <v>0.0000001295509669</v>
      </c>
      <c r="H36" s="10">
        <f>$C$10*B25</f>
        <v>0.00000003376961871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0.002680537907</v>
      </c>
      <c r="C37" s="10">
        <f t="shared" si="24"/>
        <v>0.004192361287</v>
      </c>
      <c r="D37" s="7">
        <f t="shared" ref="D37:H37" si="25">D27*D17</f>
        <v>0.009431535175</v>
      </c>
      <c r="E37" s="7">
        <f t="shared" si="25"/>
        <v>0.002950184203</v>
      </c>
      <c r="F37" s="7">
        <f t="shared" si="25"/>
        <v>0.0007690146822</v>
      </c>
      <c r="G37" s="7">
        <f t="shared" si="25"/>
        <v>0.0001718198518</v>
      </c>
      <c r="H37" s="7">
        <f t="shared" si="25"/>
        <v>0.00003359078104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0.009431535175</v>
      </c>
      <c r="N37" s="7">
        <f>E27*D18</f>
        <v>0.00231966305</v>
      </c>
      <c r="O37" s="7">
        <f>F27*D19</f>
        <v>0.0004754295533</v>
      </c>
      <c r="P37" s="7">
        <f>G27*D20</f>
        <v>0.00008352195565</v>
      </c>
      <c r="Q37" s="7">
        <f>H27*D21</f>
        <v>0.00001283876318</v>
      </c>
    </row>
    <row r="38">
      <c r="A38" s="2">
        <v>3.0</v>
      </c>
      <c r="B38" s="10">
        <f t="shared" si="23"/>
        <v>0.00329635877</v>
      </c>
      <c r="C38" s="10">
        <f t="shared" si="24"/>
        <v>0.005155505116</v>
      </c>
      <c r="D38" s="10"/>
      <c r="E38" s="7">
        <f t="shared" ref="E38:H38" si="28">E28*E18</f>
        <v>0.00362795301</v>
      </c>
      <c r="F38" s="7">
        <f t="shared" si="28"/>
        <v>0.000945686418</v>
      </c>
      <c r="G38" s="7">
        <f t="shared" si="28"/>
        <v>0.0002112933654</v>
      </c>
      <c r="H38" s="7">
        <f t="shared" si="28"/>
        <v>0.00004130785294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0.00362795301</v>
      </c>
      <c r="O38" s="7">
        <f>F28*E19</f>
        <v>0.0007435718213</v>
      </c>
      <c r="P38" s="7">
        <f>G28*E20</f>
        <v>0.0001306283386</v>
      </c>
      <c r="Q38" s="7">
        <f>H28*E21</f>
        <v>0.00002007982561</v>
      </c>
    </row>
    <row r="39">
      <c r="A39" s="2">
        <v>4.0</v>
      </c>
      <c r="B39" s="10">
        <f t="shared" si="23"/>
        <v>0.002026828479</v>
      </c>
      <c r="C39" s="10">
        <f t="shared" si="24"/>
        <v>0.003169959742</v>
      </c>
      <c r="D39" s="10"/>
      <c r="E39" s="10"/>
      <c r="F39" s="7">
        <f t="shared" ref="F39:H39" si="29">F29*F19</f>
        <v>0.0005814731643</v>
      </c>
      <c r="G39" s="7">
        <f t="shared" si="29"/>
        <v>0.0001299177184</v>
      </c>
      <c r="H39" s="7">
        <f t="shared" si="29"/>
        <v>0.00002539891395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0.0005814731643</v>
      </c>
      <c r="P39" s="7">
        <f>G29*F20</f>
        <v>0.0001021513608</v>
      </c>
      <c r="Q39" s="7">
        <f>H29*F21</f>
        <v>0.00001570242362</v>
      </c>
    </row>
    <row r="40">
      <c r="A40" s="2">
        <v>5.0</v>
      </c>
      <c r="B40" s="10">
        <f t="shared" si="23"/>
        <v>0.0008308225269</v>
      </c>
      <c r="C40" s="10">
        <f t="shared" si="24"/>
        <v>0.001299406432</v>
      </c>
      <c r="D40" s="10"/>
      <c r="E40" s="10"/>
      <c r="F40" s="10"/>
      <c r="G40" s="7">
        <f t="shared" ref="G40:H40" si="30">G30*G20</f>
        <v>0.00005325490944</v>
      </c>
      <c r="H40" s="7">
        <f t="shared" si="30"/>
        <v>0.0000104113348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0.00005325490944</v>
      </c>
      <c r="Q40" s="7">
        <f>H30*G21</f>
        <v>0.00000818619685</v>
      </c>
    </row>
    <row r="41">
      <c r="A41" s="2">
        <v>6.0</v>
      </c>
      <c r="B41" s="10">
        <f t="shared" si="23"/>
        <v>0.0002554234652</v>
      </c>
      <c r="C41" s="10">
        <f t="shared" si="24"/>
        <v>0.0003994822995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46</v>
      </c>
      <c r="C1" s="1" t="s">
        <v>47</v>
      </c>
      <c r="D1" s="2" t="s">
        <v>2</v>
      </c>
      <c r="G1" s="2" t="str">
        <f t="shared" ref="G1:H1" si="1">B1</f>
        <v>notingham</v>
      </c>
      <c r="H1" s="2" t="str">
        <f t="shared" si="1"/>
        <v>burnley</v>
      </c>
      <c r="J1" s="3" t="str">
        <f>G1</f>
        <v>notingham</v>
      </c>
      <c r="K1" s="3" t="s">
        <v>3</v>
      </c>
      <c r="L1" s="3" t="s">
        <v>4</v>
      </c>
      <c r="M1" s="3" t="s">
        <v>5</v>
      </c>
      <c r="N1" s="3" t="str">
        <f>H1</f>
        <v>burnley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0.11994377619132102</v>
      </c>
      <c r="C2" s="1">
        <v>0.4556638100677033</v>
      </c>
      <c r="D2" s="2" t="s">
        <v>7</v>
      </c>
      <c r="E2" s="1">
        <v>2.5</v>
      </c>
      <c r="F2" s="2" t="s">
        <v>8</v>
      </c>
      <c r="G2" s="1">
        <v>1.5</v>
      </c>
      <c r="H2" s="1">
        <v>8.09</v>
      </c>
      <c r="J2" s="3"/>
      <c r="K2" s="4"/>
      <c r="L2" s="5">
        <v>3.5</v>
      </c>
      <c r="M2" s="6">
        <f t="shared" ref="M2:M11" si="3">IFERROR(-ln(1-(1/L2)),0)</f>
        <v>0.3364722366</v>
      </c>
      <c r="N2" s="3"/>
      <c r="O2" s="4"/>
      <c r="P2" s="5">
        <v>3.25</v>
      </c>
      <c r="Q2" s="6">
        <f t="shared" ref="Q2:Q11" si="4">IFERROR(-ln(1-(1/P2)),0)</f>
        <v>0.3677247801</v>
      </c>
    </row>
    <row r="3">
      <c r="A3" s="2" t="s">
        <v>5</v>
      </c>
      <c r="B3" s="7">
        <f t="shared" ref="B3:C3" si="2">-ln(B2)</f>
        <v>2.120732178</v>
      </c>
      <c r="C3" s="7">
        <f t="shared" si="2"/>
        <v>0.786</v>
      </c>
      <c r="D3" s="2" t="s">
        <v>9</v>
      </c>
      <c r="E3" s="1">
        <v>1.8</v>
      </c>
      <c r="F3" s="2" t="s">
        <v>10</v>
      </c>
      <c r="G3" s="8">
        <f>1/(1/G2+SUM(D37:H40))</f>
        <v>1.477301944</v>
      </c>
      <c r="H3" s="8">
        <f>1/(1/H2+SUM(M37:Q40))</f>
        <v>7.272288924</v>
      </c>
      <c r="J3" s="3"/>
      <c r="K3" s="4"/>
      <c r="L3" s="5">
        <v>3.0</v>
      </c>
      <c r="M3" s="6">
        <f t="shared" si="3"/>
        <v>0.4054651081</v>
      </c>
      <c r="N3" s="3"/>
      <c r="O3" s="4"/>
      <c r="P3" s="5">
        <v>3.5</v>
      </c>
      <c r="Q3" s="6">
        <f t="shared" si="4"/>
        <v>0.3364722366</v>
      </c>
    </row>
    <row r="4">
      <c r="A4" s="2" t="s">
        <v>11</v>
      </c>
      <c r="J4" s="3"/>
      <c r="K4" s="4"/>
      <c r="L4" s="5">
        <v>5.0</v>
      </c>
      <c r="M4" s="6">
        <f t="shared" si="3"/>
        <v>0.2231435513</v>
      </c>
      <c r="N4" s="3"/>
      <c r="O4" s="4"/>
      <c r="P4" s="5">
        <v>4.5</v>
      </c>
      <c r="Q4" s="6">
        <f t="shared" si="4"/>
        <v>0.2513144283</v>
      </c>
    </row>
    <row r="5">
      <c r="A5" s="2">
        <v>1.0</v>
      </c>
      <c r="B5" s="7">
        <f t="shared" ref="B5:C5" si="5">((B$3^$A5)/FACT($A5))*EXP(-B$3)</f>
        <v>0.2543686257</v>
      </c>
      <c r="C5" s="7">
        <f t="shared" si="5"/>
        <v>0.3581517547</v>
      </c>
      <c r="D5" s="2">
        <v>1.5</v>
      </c>
      <c r="E5" s="7">
        <f>1/(B2*(C2+C5)+B5*C2)</f>
        <v>4.683430777</v>
      </c>
      <c r="J5" s="3"/>
      <c r="K5" s="4"/>
      <c r="L5" s="5">
        <v>5.0</v>
      </c>
      <c r="M5" s="6">
        <f t="shared" si="3"/>
        <v>0.2231435513</v>
      </c>
      <c r="N5" s="3"/>
      <c r="O5" s="4"/>
      <c r="P5" s="5">
        <v>8.0</v>
      </c>
      <c r="Q5" s="6">
        <f t="shared" si="4"/>
        <v>0.1335313926</v>
      </c>
    </row>
    <row r="6">
      <c r="A6" s="2">
        <v>2.0</v>
      </c>
      <c r="B6" s="7">
        <f t="shared" ref="B6:C6" si="6">((B$3^$A6)/FACT($A6))*EXP(-B$3)</f>
        <v>0.2697238648</v>
      </c>
      <c r="C6" s="7">
        <f t="shared" si="6"/>
        <v>0.1407536396</v>
      </c>
      <c r="D6" s="2">
        <v>2.5</v>
      </c>
      <c r="E6" s="7">
        <f>1/(B2*(C2+C5+C6)+B5*(C2+C5)+B6*C2)</f>
        <v>2.250188638</v>
      </c>
      <c r="F6" s="2" t="s">
        <v>12</v>
      </c>
      <c r="J6" s="3"/>
      <c r="K6" s="4"/>
      <c r="L6" s="5">
        <v>8.0</v>
      </c>
      <c r="M6" s="6">
        <f t="shared" si="3"/>
        <v>0.1335313926</v>
      </c>
      <c r="N6" s="3"/>
      <c r="O6" s="4"/>
      <c r="P6" s="5">
        <v>10.0</v>
      </c>
      <c r="Q6" s="6">
        <f t="shared" si="4"/>
        <v>0.1053605157</v>
      </c>
    </row>
    <row r="7">
      <c r="A7" s="2">
        <v>3.0</v>
      </c>
      <c r="B7" s="7">
        <f t="shared" ref="B7:C7" si="7">((B$3^$A7)/FACT($A7))*EXP(-B$3)</f>
        <v>0.190670693</v>
      </c>
      <c r="C7" s="7">
        <f t="shared" si="7"/>
        <v>0.03687745358</v>
      </c>
      <c r="D7" s="2">
        <v>3.5</v>
      </c>
      <c r="E7" s="7">
        <f>1/(B2*(C2+C5+C6+C7)+B5*(C2+C5+C6)+B6*(C2+C5)+B7*C2)</f>
        <v>1.496742654</v>
      </c>
      <c r="F7" s="7" t="str">
        <f>B1</f>
        <v>notingham</v>
      </c>
      <c r="G7" s="2" t="s">
        <v>13</v>
      </c>
      <c r="H7" s="7" t="str">
        <f>C1</f>
        <v>burnley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10.0</v>
      </c>
      <c r="Q7" s="6">
        <f t="shared" si="4"/>
        <v>0.1053605157</v>
      </c>
    </row>
    <row r="8">
      <c r="A8" s="2">
        <v>4.0</v>
      </c>
      <c r="B8" s="7">
        <f t="shared" ref="B8:C8" si="8">((B$3^$A8)/FACT($A8))*EXP(-B$3)</f>
        <v>0.1010903685</v>
      </c>
      <c r="C8" s="7">
        <f t="shared" si="8"/>
        <v>0.007246419628</v>
      </c>
      <c r="D8" s="2">
        <v>4.5</v>
      </c>
      <c r="E8" s="7">
        <f>1/(B2*(C2+C5+C6+C7+C8)+B5*(C2+C5+C6+C7)+B6*(C2+C5+C6)+B7*(C2+C5)+B8*C2)</f>
        <v>1.203827152</v>
      </c>
      <c r="F8" s="7">
        <f>B5*C2+B6*(C5+C2)+B7*(C6+C5+C2)+B8*(C7+C6+C5+C2)+B9*(C8+C7+C6+C5+C2)+B10*(C9+C8+C7+C6+C5+C2)+B11*(C10+C9+C8+C7+C6+C5+C2)+B12*(C11+C10+C9+C8+C7+C6+C5+C2)</f>
        <v>0.6814283153</v>
      </c>
      <c r="G8" s="7">
        <f>B2*C2+B5*C5+B6*C6+B7*C7+B8*C8+B9*C9+B10*C10+B11*C11+B12*C12</f>
        <v>0.1915363996</v>
      </c>
      <c r="H8" s="7">
        <f>C5*B2+C6*(B5+B2)+C7*(B6+B5+B2)+C8*(B7+B6+B5+B2)+C9*(B8+B7+B6+B5+B2)+C10*(B9+B8+B7+B6+B5+B2)+C11*(B10+B9+B7+B8+B6+B5+B2)</f>
        <v>0.12667166</v>
      </c>
      <c r="J8" s="3"/>
      <c r="K8" s="4"/>
      <c r="L8" s="5">
        <v>6.0</v>
      </c>
      <c r="M8" s="6">
        <f t="shared" si="3"/>
        <v>0.1823215568</v>
      </c>
      <c r="N8" s="3"/>
      <c r="O8" s="4"/>
      <c r="P8" s="5">
        <v>10.0</v>
      </c>
      <c r="Q8" s="6">
        <f t="shared" si="4"/>
        <v>0.1053605157</v>
      </c>
    </row>
    <row r="9">
      <c r="A9" s="2">
        <v>5.0</v>
      </c>
      <c r="B9" s="7">
        <f t="shared" ref="B9:C9" si="9">((B$3^$A9)/FACT($A9))*EXP(-B$3)</f>
        <v>0.04287711947</v>
      </c>
      <c r="C9" s="7">
        <f t="shared" si="9"/>
        <v>0.001139137165</v>
      </c>
      <c r="F9" s="9">
        <f t="shared" ref="F9:H9" si="10">1/F8</f>
        <v>1.467505793</v>
      </c>
      <c r="G9" s="9">
        <f t="shared" si="10"/>
        <v>5.220939738</v>
      </c>
      <c r="H9" s="9">
        <f t="shared" si="10"/>
        <v>7.894425633</v>
      </c>
      <c r="J9" s="3"/>
      <c r="K9" s="4"/>
      <c r="L9" s="5">
        <v>8.0</v>
      </c>
      <c r="M9" s="6">
        <f t="shared" si="3"/>
        <v>0.1335313926</v>
      </c>
      <c r="N9" s="3"/>
      <c r="O9" s="4"/>
      <c r="P9" s="5">
        <v>15.0</v>
      </c>
      <c r="Q9" s="6">
        <f t="shared" si="4"/>
        <v>0.06899287149</v>
      </c>
    </row>
    <row r="10">
      <c r="A10" s="2">
        <v>6.0</v>
      </c>
      <c r="B10" s="7">
        <f t="shared" ref="B10:C10" si="11">((B$3^$A10)/FACT($A10))*EXP(-B$3)</f>
        <v>0.01515514783</v>
      </c>
      <c r="C10" s="7">
        <f t="shared" si="11"/>
        <v>0.0001492269687</v>
      </c>
      <c r="J10" s="3"/>
      <c r="K10" s="4"/>
      <c r="L10" s="5">
        <v>15.0</v>
      </c>
      <c r="M10" s="6">
        <f t="shared" si="3"/>
        <v>0.06899287149</v>
      </c>
      <c r="N10" s="3"/>
      <c r="O10" s="4"/>
      <c r="P10" s="5">
        <v>12.0</v>
      </c>
      <c r="Q10" s="6">
        <f t="shared" si="4"/>
        <v>0.08701137699</v>
      </c>
    </row>
    <row r="11">
      <c r="A11" s="2">
        <v>7.0</v>
      </c>
      <c r="B11" s="7">
        <f t="shared" ref="B11:C11" si="12">((B$3^$A11)/FACT($A11))*EXP(-B$3)</f>
        <v>0.00459142995</v>
      </c>
      <c r="C11" s="7">
        <f t="shared" si="12"/>
        <v>0.00001675605677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15.0</v>
      </c>
      <c r="Q11" s="6">
        <f t="shared" si="4"/>
        <v>0.06899287149</v>
      </c>
    </row>
    <row r="12">
      <c r="A12" s="2">
        <v>8.0</v>
      </c>
      <c r="B12" s="7">
        <f t="shared" ref="B12:C12" si="13">((B$3^$A12)/FACT($A12))*EXP(-B$3)</f>
        <v>0.001217149155</v>
      </c>
      <c r="C12" s="7">
        <f t="shared" si="13"/>
        <v>0.000001646282578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burnley</v>
      </c>
      <c r="J13" s="3"/>
      <c r="K13" s="3"/>
      <c r="L13" s="3" t="s">
        <v>14</v>
      </c>
      <c r="M13" s="6">
        <f>SUM(M2:M11)</f>
        <v>1.880955048</v>
      </c>
      <c r="N13" s="3"/>
      <c r="O13" s="3"/>
      <c r="P13" s="3" t="s">
        <v>14</v>
      </c>
      <c r="Q13" s="6">
        <f>SUM(Q2:Q11)</f>
        <v>1.630121505</v>
      </c>
    </row>
    <row r="14">
      <c r="A14" s="7" t="str">
        <f>B1</f>
        <v>notingham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1.609437912</v>
      </c>
      <c r="N14" s="3"/>
      <c r="O14" s="3"/>
      <c r="P14" s="3" t="s">
        <v>15</v>
      </c>
      <c r="Q14" s="6">
        <f>SUM(Q2:Q8)</f>
        <v>1.405124385</v>
      </c>
    </row>
    <row r="15">
      <c r="A15" s="2">
        <v>0.0</v>
      </c>
      <c r="B15" s="7">
        <f>B2*$C$2</f>
        <v>0.05465403805</v>
      </c>
      <c r="C15" s="7">
        <f>C5*B2</f>
        <v>0.04295807391</v>
      </c>
      <c r="D15" s="7">
        <f>C6*B2</f>
        <v>0.01688252305</v>
      </c>
      <c r="E15" s="7">
        <f>C7*B2</f>
        <v>0.004423221038</v>
      </c>
      <c r="F15" s="7">
        <f>C8*B2</f>
        <v>0.000869162934</v>
      </c>
      <c r="G15" s="7">
        <f>C9*B2</f>
        <v>0.0001366324132</v>
      </c>
      <c r="H15" s="7">
        <f>$C$10*B2</f>
        <v>0.00001789884613</v>
      </c>
    </row>
    <row r="16">
      <c r="A16" s="2">
        <v>1.0</v>
      </c>
      <c r="B16" s="7">
        <f t="shared" ref="B16:B21" si="14">B5*$C$2</f>
        <v>0.1159065771</v>
      </c>
      <c r="C16" s="7">
        <f t="shared" ref="C16:C21" si="15">$C$5*B5</f>
        <v>0.09110256963</v>
      </c>
      <c r="D16" s="7">
        <f t="shared" ref="D16:D21" si="16">$C$6*B5</f>
        <v>0.03580330987</v>
      </c>
      <c r="E16" s="7">
        <f t="shared" ref="E16:E21" si="17">$C$7*B5</f>
        <v>0.009380467185</v>
      </c>
      <c r="F16" s="7">
        <f t="shared" ref="F16:F21" si="18">$C$8*B5</f>
        <v>0.001843261802</v>
      </c>
      <c r="G16" s="7">
        <f t="shared" ref="G16:G21" si="19">$C$9*B5</f>
        <v>0.0002897607552</v>
      </c>
      <c r="H16" s="7">
        <f t="shared" ref="H16:H21" si="20">$C$10*B5</f>
        <v>0.00003795865894</v>
      </c>
    </row>
    <row r="17">
      <c r="A17" s="2">
        <v>2.0</v>
      </c>
      <c r="B17" s="7">
        <f t="shared" si="14"/>
        <v>0.1229034039</v>
      </c>
      <c r="C17" s="7">
        <f t="shared" si="15"/>
        <v>0.09660207545</v>
      </c>
      <c r="D17" s="7">
        <f t="shared" si="16"/>
        <v>0.03796461565</v>
      </c>
      <c r="E17" s="7">
        <f t="shared" si="17"/>
        <v>0.009946729301</v>
      </c>
      <c r="F17" s="7">
        <f t="shared" si="18"/>
        <v>0.001954532308</v>
      </c>
      <c r="G17" s="7">
        <f t="shared" si="19"/>
        <v>0.0003072524788</v>
      </c>
      <c r="H17" s="7">
        <f t="shared" si="20"/>
        <v>0.00004025007472</v>
      </c>
    </row>
    <row r="18">
      <c r="A18" s="2">
        <v>3.0</v>
      </c>
      <c r="B18" s="7">
        <f t="shared" si="14"/>
        <v>0.08688173445</v>
      </c>
      <c r="C18" s="7">
        <f t="shared" si="15"/>
        <v>0.06828904328</v>
      </c>
      <c r="D18" s="7">
        <f t="shared" si="16"/>
        <v>0.02683759401</v>
      </c>
      <c r="E18" s="7">
        <f t="shared" si="17"/>
        <v>0.00703144963</v>
      </c>
      <c r="F18" s="7">
        <f t="shared" si="18"/>
        <v>0.001381679852</v>
      </c>
      <c r="G18" s="7">
        <f t="shared" si="19"/>
        <v>0.0002172000728</v>
      </c>
      <c r="H18" s="7">
        <f t="shared" si="20"/>
        <v>0.00002845320954</v>
      </c>
    </row>
    <row r="19">
      <c r="A19" s="2">
        <v>4.0</v>
      </c>
      <c r="B19" s="7">
        <f t="shared" si="14"/>
        <v>0.04606322248</v>
      </c>
      <c r="C19" s="7">
        <f t="shared" si="15"/>
        <v>0.03620569287</v>
      </c>
      <c r="D19" s="7">
        <f t="shared" si="16"/>
        <v>0.0142288373</v>
      </c>
      <c r="E19" s="7">
        <f t="shared" si="17"/>
        <v>0.003727955372</v>
      </c>
      <c r="F19" s="7">
        <f t="shared" si="18"/>
        <v>0.0007325432306</v>
      </c>
      <c r="G19" s="7">
        <f t="shared" si="19"/>
        <v>0.0001151557958</v>
      </c>
      <c r="H19" s="7">
        <f t="shared" si="20"/>
        <v>0.00001508540926</v>
      </c>
    </row>
    <row r="20">
      <c r="A20" s="2">
        <v>5.0</v>
      </c>
      <c r="B20" s="7">
        <f t="shared" si="14"/>
        <v>0.01953755162</v>
      </c>
      <c r="C20" s="7">
        <f t="shared" si="15"/>
        <v>0.01535651558</v>
      </c>
      <c r="D20" s="7">
        <f t="shared" si="16"/>
        <v>0.006035110621</v>
      </c>
      <c r="E20" s="7">
        <f t="shared" si="17"/>
        <v>0.001581198983</v>
      </c>
      <c r="F20" s="7">
        <f t="shared" si="18"/>
        <v>0.0003107056001</v>
      </c>
      <c r="G20" s="7">
        <f t="shared" si="19"/>
        <v>0.00004884292034</v>
      </c>
      <c r="H20" s="7">
        <f t="shared" si="20"/>
        <v>0.000006398422565</v>
      </c>
    </row>
    <row r="21">
      <c r="A21" s="2">
        <v>6.0</v>
      </c>
      <c r="B21" s="7">
        <f t="shared" si="14"/>
        <v>0.0069056524</v>
      </c>
      <c r="C21" s="7">
        <f t="shared" si="15"/>
        <v>0.005427842787</v>
      </c>
      <c r="D21" s="7">
        <f t="shared" si="16"/>
        <v>0.002133142215</v>
      </c>
      <c r="E21" s="7">
        <f t="shared" si="17"/>
        <v>0.0005588832604</v>
      </c>
      <c r="F21" s="7">
        <f t="shared" si="18"/>
        <v>0.0001098205607</v>
      </c>
      <c r="G21" s="7">
        <f t="shared" si="19"/>
        <v>0.00001726379214</v>
      </c>
      <c r="H21" s="7">
        <f t="shared" si="20"/>
        <v>0.00000226155677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0.0005546108212</v>
      </c>
      <c r="C25" s="10">
        <f>C15*B12</f>
        <v>0.00005228638335</v>
      </c>
      <c r="D25" s="10">
        <f>C16*B12</f>
        <v>0.0001108854156</v>
      </c>
      <c r="E25" s="10">
        <f>C17*B12</f>
        <v>0.0001175791345</v>
      </c>
      <c r="F25" s="10">
        <f>C18*B12</f>
        <v>0.0000831179513</v>
      </c>
      <c r="G25" s="10">
        <f>C19*B12</f>
        <v>0.00004406772847</v>
      </c>
      <c r="H25" s="10">
        <f>$C$10*B12</f>
        <v>0.0000001816314788</v>
      </c>
    </row>
    <row r="26">
      <c r="A26" s="2">
        <v>1.0</v>
      </c>
      <c r="B26" s="10">
        <f t="shared" ref="B26:B31" si="21">B15*$C$2</f>
        <v>0.02490386721</v>
      </c>
      <c r="C26" s="10">
        <f t="shared" ref="C26:C31" si="22">$C$5*B15</f>
        <v>0.01957443963</v>
      </c>
      <c r="D26" s="10">
        <f>$C$6*B15</f>
        <v>0.007692754775</v>
      </c>
      <c r="E26" s="10">
        <f>$C$7*B15</f>
        <v>0.002015501751</v>
      </c>
      <c r="F26" s="10">
        <f>$C$8*B15</f>
        <v>0.0003960460941</v>
      </c>
      <c r="G26" s="10">
        <f>$C$9*B15</f>
        <v>0.00006225844599</v>
      </c>
      <c r="H26" s="10">
        <f>$C$10*B15</f>
        <v>0.000008155856425</v>
      </c>
    </row>
    <row r="27">
      <c r="A27" s="2">
        <v>2.0</v>
      </c>
      <c r="B27" s="10">
        <f t="shared" si="21"/>
        <v>0.05281443255</v>
      </c>
      <c r="C27" s="10">
        <f t="shared" si="22"/>
        <v>0.04151214399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0.05600263328</v>
      </c>
      <c r="C28" s="10">
        <f t="shared" si="22"/>
        <v>0.04401806976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0.03958886215</v>
      </c>
      <c r="C29" s="10">
        <f t="shared" si="22"/>
        <v>0.03111684565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0.02098934346</v>
      </c>
      <c r="C30" s="10">
        <f t="shared" si="22"/>
        <v>0.01649762396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0.008902555212</v>
      </c>
      <c r="C31" s="10">
        <f t="shared" si="22"/>
        <v>0.006997408397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notingham</v>
      </c>
      <c r="J33" s="2" t="s">
        <v>17</v>
      </c>
      <c r="K33" s="7" t="str">
        <f>B13</f>
        <v>burnley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0.0002527160799</v>
      </c>
      <c r="C36" s="10">
        <f t="shared" ref="C36:C41" si="24">$C$5*B25</f>
        <v>0.0001986348388</v>
      </c>
      <c r="D36" s="10">
        <f>$C$6*B25</f>
        <v>0.00007806349165</v>
      </c>
      <c r="E36" s="10">
        <f>$C$7*B25</f>
        <v>0.00002045263481</v>
      </c>
      <c r="F36" s="10">
        <f>$C$8*B25</f>
        <v>0.000004018942741</v>
      </c>
      <c r="G36" s="10">
        <f>$C$9*B25</f>
        <v>0.0000006317777989</v>
      </c>
      <c r="H36" s="10">
        <f>$C$10*B25</f>
        <v>0.00000008276289165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0.01134779102</v>
      </c>
      <c r="C37" s="10">
        <f t="shared" si="24"/>
        <v>0.008919363742</v>
      </c>
      <c r="D37" s="7">
        <f t="shared" ref="D37:H37" si="25">D27*D17</f>
        <v>0.006327435942</v>
      </c>
      <c r="E37" s="7">
        <f t="shared" si="25"/>
        <v>0.0009946729301</v>
      </c>
      <c r="F37" s="7">
        <f t="shared" si="25"/>
        <v>0.0001303021538</v>
      </c>
      <c r="G37" s="7">
        <f t="shared" si="25"/>
        <v>0.00001463107042</v>
      </c>
      <c r="H37" s="7">
        <f t="shared" si="25"/>
        <v>0.000001437502668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0.006327435942</v>
      </c>
      <c r="N37" s="7">
        <f>E27*D18</f>
        <v>0.002683759401</v>
      </c>
      <c r="O37" s="7">
        <f>F27*D19</f>
        <v>0.0009485891531</v>
      </c>
      <c r="P37" s="7">
        <f>G27*D20</f>
        <v>0.0002873862201</v>
      </c>
      <c r="Q37" s="7">
        <f>H27*D21</f>
        <v>0.00007618365054</v>
      </c>
    </row>
    <row r="38">
      <c r="A38" s="2">
        <v>3.0</v>
      </c>
      <c r="B38" s="10">
        <f t="shared" si="23"/>
        <v>0.02406562556</v>
      </c>
      <c r="C38" s="10">
        <f t="shared" si="24"/>
        <v>0.01891558169</v>
      </c>
      <c r="D38" s="10"/>
      <c r="E38" s="7">
        <f t="shared" ref="E38:H38" si="28">E28*E18</f>
        <v>0.002109434889</v>
      </c>
      <c r="F38" s="7">
        <f t="shared" si="28"/>
        <v>0.0002763359705</v>
      </c>
      <c r="G38" s="7">
        <f t="shared" si="28"/>
        <v>0.00003102858183</v>
      </c>
      <c r="H38" s="7">
        <f t="shared" si="28"/>
        <v>0.000003048558165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0.002109434889</v>
      </c>
      <c r="O38" s="7">
        <f>F28*E19</f>
        <v>0.0007455910744</v>
      </c>
      <c r="P38" s="7">
        <f>G28*E20</f>
        <v>0.000225885569</v>
      </c>
      <c r="Q38" s="7">
        <f>H28*E21</f>
        <v>0.00005988034933</v>
      </c>
    </row>
    <row r="39">
      <c r="A39" s="2">
        <v>4.0</v>
      </c>
      <c r="B39" s="10">
        <f t="shared" si="23"/>
        <v>0.02551837325</v>
      </c>
      <c r="C39" s="10">
        <f t="shared" si="24"/>
        <v>0.02005744138</v>
      </c>
      <c r="D39" s="10"/>
      <c r="E39" s="10"/>
      <c r="F39" s="7">
        <f t="shared" ref="F39:H39" si="29">F29*F19</f>
        <v>0.0002930172922</v>
      </c>
      <c r="G39" s="7">
        <f t="shared" si="29"/>
        <v>0.00003290165596</v>
      </c>
      <c r="H39" s="7">
        <f t="shared" si="29"/>
        <v>0.000003232587698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0.0002930172922</v>
      </c>
      <c r="P39" s="7">
        <f>G29*F20</f>
        <v>0.00008877302861</v>
      </c>
      <c r="Q39" s="7">
        <f>H29*F21</f>
        <v>0.00002353297729</v>
      </c>
    </row>
    <row r="40">
      <c r="A40" s="2">
        <v>5.0</v>
      </c>
      <c r="B40" s="10">
        <f t="shared" si="23"/>
        <v>0.01803921176</v>
      </c>
      <c r="C40" s="10">
        <f t="shared" si="24"/>
        <v>0.01417882044</v>
      </c>
      <c r="D40" s="10"/>
      <c r="E40" s="10"/>
      <c r="F40" s="10"/>
      <c r="G40" s="7">
        <f t="shared" ref="G40:H40" si="30">G30*G20</f>
        <v>0.0000232585335</v>
      </c>
      <c r="H40" s="7">
        <f t="shared" si="30"/>
        <v>0.000002285150916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0.0000232585335</v>
      </c>
      <c r="Q40" s="7">
        <f>H30*G21</f>
        <v>0.000006165640049</v>
      </c>
    </row>
    <row r="41">
      <c r="A41" s="2">
        <v>6.0</v>
      </c>
      <c r="B41" s="10">
        <f t="shared" si="23"/>
        <v>0.009564084211</v>
      </c>
      <c r="C41" s="10">
        <f t="shared" si="24"/>
        <v>0.00751737019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1</v>
      </c>
      <c r="C1" s="1" t="s">
        <v>48</v>
      </c>
      <c r="D1" s="2" t="s">
        <v>2</v>
      </c>
      <c r="G1" s="2" t="str">
        <f t="shared" ref="G1:H1" si="1">B1</f>
        <v>union berlin</v>
      </c>
      <c r="H1" s="2" t="str">
        <f t="shared" si="1"/>
        <v>wolfsburg</v>
      </c>
      <c r="J1" s="3" t="str">
        <f>G1</f>
        <v>union berlin</v>
      </c>
      <c r="K1" s="3" t="s">
        <v>3</v>
      </c>
      <c r="L1" s="3" t="s">
        <v>4</v>
      </c>
      <c r="M1" s="3" t="s">
        <v>5</v>
      </c>
      <c r="N1" s="3" t="str">
        <f>H1</f>
        <v>wolfsburg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0.19786995367980875</v>
      </c>
      <c r="C2" s="1">
        <v>0.2836540264997701</v>
      </c>
      <c r="D2" s="2" t="s">
        <v>7</v>
      </c>
      <c r="E2" s="1">
        <v>2.5</v>
      </c>
      <c r="F2" s="2" t="s">
        <v>8</v>
      </c>
      <c r="G2" s="1">
        <v>2.25</v>
      </c>
      <c r="H2" s="1">
        <v>3.46</v>
      </c>
      <c r="J2" s="3"/>
      <c r="K2" s="4"/>
      <c r="L2" s="5">
        <v>2.4</v>
      </c>
      <c r="M2" s="6">
        <f t="shared" ref="M2:M11" si="3">IFERROR(-ln(1-(1/L2)),0)</f>
        <v>0.5389965007</v>
      </c>
      <c r="N2" s="3"/>
      <c r="O2" s="4"/>
      <c r="P2" s="5">
        <v>3.25</v>
      </c>
      <c r="Q2" s="6">
        <f t="shared" ref="Q2:Q11" si="4">IFERROR(-ln(1-(1/P2)),0)</f>
        <v>0.3677247801</v>
      </c>
    </row>
    <row r="3">
      <c r="A3" s="2" t="s">
        <v>5</v>
      </c>
      <c r="B3" s="7">
        <f t="shared" ref="B3:C3" si="2">-ln(B2)</f>
        <v>1.620145264</v>
      </c>
      <c r="C3" s="7">
        <f t="shared" si="2"/>
        <v>1.26</v>
      </c>
      <c r="D3" s="2" t="s">
        <v>9</v>
      </c>
      <c r="E3" s="1">
        <v>1.82</v>
      </c>
      <c r="F3" s="2" t="s">
        <v>10</v>
      </c>
      <c r="G3" s="8">
        <f>1/(1/G2+SUM(D37:H40))</f>
        <v>2.159119978</v>
      </c>
      <c r="H3" s="8">
        <f>1/(1/H2+SUM(M37:Q40))</f>
        <v>3.233029259</v>
      </c>
      <c r="J3" s="3"/>
      <c r="K3" s="4"/>
      <c r="L3" s="5">
        <v>3.75</v>
      </c>
      <c r="M3" s="6">
        <f t="shared" si="3"/>
        <v>0.3101549283</v>
      </c>
      <c r="N3" s="3"/>
      <c r="O3" s="4"/>
      <c r="P3" s="5">
        <v>2.4</v>
      </c>
      <c r="Q3" s="6">
        <f t="shared" si="4"/>
        <v>0.5389965007</v>
      </c>
    </row>
    <row r="4">
      <c r="A4" s="2" t="s">
        <v>11</v>
      </c>
      <c r="J4" s="3"/>
      <c r="K4" s="4"/>
      <c r="L4" s="5">
        <v>5.0</v>
      </c>
      <c r="M4" s="6">
        <f t="shared" si="3"/>
        <v>0.2231435513</v>
      </c>
      <c r="N4" s="3"/>
      <c r="O4" s="4"/>
      <c r="P4" s="5">
        <v>2.75</v>
      </c>
      <c r="Q4" s="6">
        <f t="shared" si="4"/>
        <v>0.4519851237</v>
      </c>
    </row>
    <row r="5">
      <c r="A5" s="2">
        <v>1.0</v>
      </c>
      <c r="B5" s="7">
        <f t="shared" ref="B5:C5" si="5">((B$3^$A5)/FACT($A5))*EXP(-B$3)</f>
        <v>0.3205780683</v>
      </c>
      <c r="C5" s="7">
        <f t="shared" si="5"/>
        <v>0.3574040734</v>
      </c>
      <c r="D5" s="2">
        <v>1.5</v>
      </c>
      <c r="E5" s="7">
        <f>1/(B2*(C2+C5)+B5*C2)</f>
        <v>4.591802606</v>
      </c>
      <c r="J5" s="3"/>
      <c r="K5" s="4"/>
      <c r="L5" s="5">
        <v>8.0</v>
      </c>
      <c r="M5" s="6">
        <f t="shared" si="3"/>
        <v>0.1335313926</v>
      </c>
      <c r="N5" s="3"/>
      <c r="O5" s="4"/>
      <c r="P5" s="5">
        <v>3.75</v>
      </c>
      <c r="Q5" s="6">
        <f t="shared" si="4"/>
        <v>0.3101549283</v>
      </c>
    </row>
    <row r="6">
      <c r="A6" s="2">
        <v>2.0</v>
      </c>
      <c r="B6" s="7">
        <f t="shared" ref="B6:C6" si="6">((B$3^$A6)/FACT($A6))*EXP(-B$3)</f>
        <v>0.2596915195</v>
      </c>
      <c r="C6" s="7">
        <f t="shared" si="6"/>
        <v>0.2251645662</v>
      </c>
      <c r="D6" s="2">
        <v>2.5</v>
      </c>
      <c r="E6" s="7">
        <f>1/(B2*(C2+C5+C6)+B5*(C2+C5)+B6*C2)</f>
        <v>2.219405297</v>
      </c>
      <c r="F6" s="2" t="s">
        <v>12</v>
      </c>
      <c r="J6" s="3"/>
      <c r="K6" s="4"/>
      <c r="L6" s="5">
        <v>3.5</v>
      </c>
      <c r="M6" s="6">
        <f t="shared" si="3"/>
        <v>0.3364722366</v>
      </c>
      <c r="N6" s="3"/>
      <c r="O6" s="4"/>
      <c r="P6" s="5">
        <v>11.0</v>
      </c>
      <c r="Q6" s="6">
        <f t="shared" si="4"/>
        <v>0.0953101798</v>
      </c>
    </row>
    <row r="7">
      <c r="A7" s="2">
        <v>3.0</v>
      </c>
      <c r="B7" s="7">
        <f t="shared" ref="B7:C7" si="7">((B$3^$A7)/FACT($A7))*EXP(-B$3)</f>
        <v>0.1402459951</v>
      </c>
      <c r="C7" s="7">
        <f t="shared" si="7"/>
        <v>0.09456911782</v>
      </c>
      <c r="D7" s="2">
        <v>3.5</v>
      </c>
      <c r="E7" s="7">
        <f>1/(B2*(C2+C5+C6+C7)+B5*(C2+C5+C6)+B6*(C2+C5)+B7*C2)</f>
        <v>1.483541939</v>
      </c>
      <c r="F7" s="7" t="str">
        <f>B1</f>
        <v>union berlin</v>
      </c>
      <c r="G7" s="2" t="s">
        <v>13</v>
      </c>
      <c r="H7" s="7" t="str">
        <f>C1</f>
        <v>wolfsburg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12.0</v>
      </c>
      <c r="Q7" s="6">
        <f t="shared" si="4"/>
        <v>0.08701137699</v>
      </c>
    </row>
    <row r="8">
      <c r="A8" s="2">
        <v>4.0</v>
      </c>
      <c r="B8" s="7">
        <f t="shared" ref="B8:C8" si="8">((B$3^$A8)/FACT($A8))*EXP(-B$3)</f>
        <v>0.05680472118</v>
      </c>
      <c r="C8" s="7">
        <f t="shared" si="8"/>
        <v>0.02978927211</v>
      </c>
      <c r="D8" s="2">
        <v>4.5</v>
      </c>
      <c r="E8" s="7">
        <f>1/(B2*(C2+C5+C6+C7+C8)+B5*(C2+C5+C6+C7)+B6*(C2+C5+C6)+B7*(C2+C5)+B8*C2)</f>
        <v>1.197627164</v>
      </c>
      <c r="F8" s="7">
        <f>B5*C2+B6*(C5+C2)+B7*(C6+C5+C2)+B8*(C7+C6+C5+C2)+B9*(C8+C7+C6+C5+C2)+B10*(C9+C8+C7+C6+C5+C2)+B11*(C10+C9+C8+C7+C6+C5+C2)+B12*(C11+C10+C9+C8+C7+C6+C5+C2)</f>
        <v>0.4580489666</v>
      </c>
      <c r="G8" s="7">
        <f>B2*C2+B5*C5+B6*C6+B7*C7+B8*C8+B9*C9+B10*C10+B11*C11+B12*C12</f>
        <v>0.244277303</v>
      </c>
      <c r="H8" s="7">
        <f>C5*B2+C6*(B5+B2)+C7*(B6+B5+B2)+C8*(B7+B6+B5+B2)+C9*(B8+B7+B6+B5+B2)+C10*(B9+B8+B7+B6+B5+B2)+C11*(B10+B9+B7+B8+B6+B5+B2)</f>
        <v>0.2975720182</v>
      </c>
      <c r="J8" s="3"/>
      <c r="K8" s="4"/>
      <c r="L8" s="5">
        <v>6.0</v>
      </c>
      <c r="M8" s="6">
        <f t="shared" si="3"/>
        <v>0.1823215568</v>
      </c>
      <c r="N8" s="3"/>
      <c r="O8" s="4"/>
      <c r="P8" s="5">
        <v>10.5</v>
      </c>
      <c r="Q8" s="6">
        <f t="shared" si="4"/>
        <v>0.1000834586</v>
      </c>
    </row>
    <row r="9">
      <c r="A9" s="2">
        <v>5.0</v>
      </c>
      <c r="B9" s="7">
        <f t="shared" ref="B9:C9" si="9">((B$3^$A9)/FACT($A9))*EXP(-B$3)</f>
        <v>0.01840637999</v>
      </c>
      <c r="C9" s="7">
        <f t="shared" si="9"/>
        <v>0.007506896572</v>
      </c>
      <c r="F9" s="9">
        <f t="shared" ref="F9:H9" si="10">1/F8</f>
        <v>2.183172702</v>
      </c>
      <c r="G9" s="9">
        <f t="shared" si="10"/>
        <v>4.093708206</v>
      </c>
      <c r="H9" s="9">
        <f t="shared" si="10"/>
        <v>3.360531028</v>
      </c>
      <c r="J9" s="3"/>
      <c r="K9" s="4"/>
      <c r="L9" s="5">
        <v>5.0</v>
      </c>
      <c r="M9" s="6">
        <f t="shared" si="3"/>
        <v>0.2231435513</v>
      </c>
      <c r="N9" s="3"/>
      <c r="O9" s="4"/>
      <c r="P9" s="5">
        <v>15.0</v>
      </c>
      <c r="Q9" s="6">
        <f t="shared" si="4"/>
        <v>0.06899287149</v>
      </c>
    </row>
    <row r="10">
      <c r="A10" s="2">
        <v>6.0</v>
      </c>
      <c r="B10" s="7">
        <f t="shared" ref="B10:C10" si="11">((B$3^$A10)/FACT($A10))*EXP(-B$3)</f>
        <v>0.004970168228</v>
      </c>
      <c r="C10" s="7">
        <f t="shared" si="11"/>
        <v>0.00157644828</v>
      </c>
      <c r="J10" s="3"/>
      <c r="K10" s="4"/>
      <c r="L10" s="5">
        <v>12.0</v>
      </c>
      <c r="M10" s="6">
        <f t="shared" si="3"/>
        <v>0.08701137699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0.001150342073</v>
      </c>
      <c r="C11" s="7">
        <f t="shared" si="12"/>
        <v>0.0002837606904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12.5</v>
      </c>
      <c r="Q11" s="6">
        <f t="shared" si="4"/>
        <v>0.08338160894</v>
      </c>
    </row>
    <row r="12">
      <c r="A12" s="2">
        <v>8.0</v>
      </c>
      <c r="B12" s="7">
        <f t="shared" ref="B12:C12" si="13">((B$3^$A12)/FACT($A12))*EXP(-B$3)</f>
        <v>0.0002329651577</v>
      </c>
      <c r="C12" s="7">
        <f t="shared" si="13"/>
        <v>0.00004469230874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wolfsburg</v>
      </c>
      <c r="J13" s="3"/>
      <c r="K13" s="3"/>
      <c r="L13" s="3" t="s">
        <v>14</v>
      </c>
      <c r="M13" s="6">
        <f>SUM(M2:M11)</f>
        <v>2.209128482</v>
      </c>
      <c r="N13" s="3"/>
      <c r="O13" s="3"/>
      <c r="P13" s="3" t="s">
        <v>14</v>
      </c>
      <c r="Q13" s="6">
        <f>SUM(Q2:Q11)</f>
        <v>2.1726337</v>
      </c>
    </row>
    <row r="14">
      <c r="A14" s="7" t="str">
        <f>B1</f>
        <v>union berlin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1.829980682</v>
      </c>
      <c r="N14" s="3"/>
      <c r="O14" s="3"/>
      <c r="P14" s="3" t="s">
        <v>15</v>
      </c>
      <c r="Q14" s="6">
        <f>SUM(Q2:Q8)</f>
        <v>1.951266348</v>
      </c>
    </row>
    <row r="15">
      <c r="A15" s="2">
        <v>0.0</v>
      </c>
      <c r="B15" s="7">
        <f>B2*$C$2</f>
        <v>0.05612660908</v>
      </c>
      <c r="C15" s="7">
        <f>C5*B2</f>
        <v>0.07071952745</v>
      </c>
      <c r="D15" s="7">
        <f>C6*B2</f>
        <v>0.04455330229</v>
      </c>
      <c r="E15" s="7">
        <f>C7*B2</f>
        <v>0.01871238696</v>
      </c>
      <c r="F15" s="7">
        <f>C8*B2</f>
        <v>0.005894401893</v>
      </c>
      <c r="G15" s="7">
        <f>C9*B2</f>
        <v>0.001485389277</v>
      </c>
      <c r="H15" s="7">
        <f>$C$10*B2</f>
        <v>0.0003119317482</v>
      </c>
    </row>
    <row r="16">
      <c r="A16" s="2">
        <v>1.0</v>
      </c>
      <c r="B16" s="7">
        <f t="shared" ref="B16:B21" si="14">B5*$C$2</f>
        <v>0.09093325987</v>
      </c>
      <c r="C16" s="7">
        <f t="shared" ref="C16:C21" si="15">$C$5*B5</f>
        <v>0.1145759074</v>
      </c>
      <c r="D16" s="7">
        <f t="shared" ref="D16:D21" si="16">$C$6*B5</f>
        <v>0.07218282169</v>
      </c>
      <c r="E16" s="7">
        <f t="shared" ref="E16:E21" si="17">$C$7*B5</f>
        <v>0.03031678511</v>
      </c>
      <c r="F16" s="7">
        <f t="shared" ref="F16:F21" si="18">$C$8*B5</f>
        <v>0.009549787309</v>
      </c>
      <c r="G16" s="7">
        <f t="shared" ref="G16:G21" si="19">$C$9*B5</f>
        <v>0.002406546402</v>
      </c>
      <c r="H16" s="7">
        <f t="shared" ref="H16:H21" si="20">$C$10*B5</f>
        <v>0.0005053747444</v>
      </c>
    </row>
    <row r="17">
      <c r="A17" s="2">
        <v>2.0</v>
      </c>
      <c r="B17" s="7">
        <f t="shared" si="14"/>
        <v>0.07366254515</v>
      </c>
      <c r="C17" s="7">
        <f t="shared" si="15"/>
        <v>0.09281480689</v>
      </c>
      <c r="D17" s="7">
        <f t="shared" si="16"/>
        <v>0.05847332834</v>
      </c>
      <c r="E17" s="7">
        <f t="shared" si="17"/>
        <v>0.0245587979</v>
      </c>
      <c r="F17" s="7">
        <f t="shared" si="18"/>
        <v>0.007736021339</v>
      </c>
      <c r="G17" s="7">
        <f t="shared" si="19"/>
        <v>0.001949477377</v>
      </c>
      <c r="H17" s="7">
        <f t="shared" si="20"/>
        <v>0.0004093902493</v>
      </c>
    </row>
    <row r="18">
      <c r="A18" s="2">
        <v>3.0</v>
      </c>
      <c r="B18" s="7">
        <f t="shared" si="14"/>
        <v>0.03978134121</v>
      </c>
      <c r="C18" s="7">
        <f t="shared" si="15"/>
        <v>0.05012448993</v>
      </c>
      <c r="D18" s="7">
        <f t="shared" si="16"/>
        <v>0.03157842865</v>
      </c>
      <c r="E18" s="7">
        <f t="shared" si="17"/>
        <v>0.01326294003</v>
      </c>
      <c r="F18" s="7">
        <f t="shared" si="18"/>
        <v>0.004177826111</v>
      </c>
      <c r="G18" s="7">
        <f t="shared" si="19"/>
        <v>0.00105281218</v>
      </c>
      <c r="H18" s="7">
        <f t="shared" si="20"/>
        <v>0.0002210905578</v>
      </c>
    </row>
    <row r="19">
      <c r="A19" s="2">
        <v>4.0</v>
      </c>
      <c r="B19" s="7">
        <f t="shared" si="14"/>
        <v>0.01611288789</v>
      </c>
      <c r="C19" s="7">
        <f t="shared" si="15"/>
        <v>0.02030223874</v>
      </c>
      <c r="D19" s="7">
        <f t="shared" si="16"/>
        <v>0.0127904104</v>
      </c>
      <c r="E19" s="7">
        <f t="shared" si="17"/>
        <v>0.00537197237</v>
      </c>
      <c r="F19" s="7">
        <f t="shared" si="18"/>
        <v>0.001692171296</v>
      </c>
      <c r="G19" s="7">
        <f t="shared" si="19"/>
        <v>0.0004264271667</v>
      </c>
      <c r="H19" s="7">
        <f t="shared" si="20"/>
        <v>0.00008954970501</v>
      </c>
    </row>
    <row r="20">
      <c r="A20" s="2">
        <v>5.0</v>
      </c>
      <c r="B20" s="7">
        <f t="shared" si="14"/>
        <v>0.005221043799</v>
      </c>
      <c r="C20" s="7">
        <f t="shared" si="15"/>
        <v>0.006578515186</v>
      </c>
      <c r="D20" s="7">
        <f t="shared" si="16"/>
        <v>0.004144464567</v>
      </c>
      <c r="E20" s="7">
        <f t="shared" si="17"/>
        <v>0.001740675118</v>
      </c>
      <c r="F20" s="7">
        <f t="shared" si="18"/>
        <v>0.0005483126623</v>
      </c>
      <c r="G20" s="7">
        <f t="shared" si="19"/>
        <v>0.0001381747909</v>
      </c>
      <c r="H20" s="7">
        <f t="shared" si="20"/>
        <v>0.00002901670609</v>
      </c>
    </row>
    <row r="21">
      <c r="A21" s="2">
        <v>6.0</v>
      </c>
      <c r="B21" s="7">
        <f t="shared" si="14"/>
        <v>0.00140980823</v>
      </c>
      <c r="C21" s="7">
        <f t="shared" si="15"/>
        <v>0.00177635837</v>
      </c>
      <c r="D21" s="7">
        <f t="shared" si="16"/>
        <v>0.001119105773</v>
      </c>
      <c r="E21" s="7">
        <f t="shared" si="17"/>
        <v>0.0004700244247</v>
      </c>
      <c r="F21" s="7">
        <f t="shared" si="18"/>
        <v>0.0001480576938</v>
      </c>
      <c r="G21" s="7">
        <f t="shared" si="19"/>
        <v>0.00003731053884</v>
      </c>
      <c r="H21" s="7">
        <f t="shared" si="20"/>
        <v>0.000007835213156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0.00006608150503</v>
      </c>
      <c r="C25" s="10">
        <f>C15*B12</f>
        <v>0.00001647518587</v>
      </c>
      <c r="D25" s="10">
        <f>C16*B12</f>
        <v>0.00002669219435</v>
      </c>
      <c r="E25" s="10">
        <f>C17*B12</f>
        <v>0.00002162261613</v>
      </c>
      <c r="F25" s="10">
        <f>C18*B12</f>
        <v>0.0000116772597</v>
      </c>
      <c r="G25" s="10">
        <f>C19*B12</f>
        <v>0.00000472971425</v>
      </c>
      <c r="H25" s="10">
        <f>$C$10*B12</f>
        <v>0.0000003672575223</v>
      </c>
    </row>
    <row r="26">
      <c r="A26" s="2">
        <v>1.0</v>
      </c>
      <c r="B26" s="10">
        <f t="shared" ref="B26:B31" si="21">B15*$C$2</f>
        <v>0.01592053866</v>
      </c>
      <c r="C26" s="10">
        <f t="shared" ref="C26:C31" si="22">$C$5*B15</f>
        <v>0.02005987871</v>
      </c>
      <c r="D26" s="10">
        <f>$C$6*B15</f>
        <v>0.01263772359</v>
      </c>
      <c r="E26" s="10">
        <f>$C$7*B15</f>
        <v>0.005307843907</v>
      </c>
      <c r="F26" s="10">
        <f>$C$8*B15</f>
        <v>0.001671970831</v>
      </c>
      <c r="G26" s="10">
        <f>$C$9*B15</f>
        <v>0.0004213366494</v>
      </c>
      <c r="H26" s="10">
        <f>$C$10*B15</f>
        <v>0.00008848069637</v>
      </c>
    </row>
    <row r="27">
      <c r="A27" s="2">
        <v>2.0</v>
      </c>
      <c r="B27" s="10">
        <f t="shared" si="21"/>
        <v>0.02579358531</v>
      </c>
      <c r="C27" s="10">
        <f t="shared" si="22"/>
        <v>0.03249991749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0.02089467753</v>
      </c>
      <c r="C28" s="10">
        <f t="shared" si="22"/>
        <v>0.02632729369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0.01128413761</v>
      </c>
      <c r="C29" s="10">
        <f t="shared" si="22"/>
        <v>0.01421801339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0.004570485527</v>
      </c>
      <c r="C30" s="10">
        <f t="shared" si="22"/>
        <v>0.005758811765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0.001480970096</v>
      </c>
      <c r="C31" s="10">
        <f t="shared" si="22"/>
        <v>0.001866022321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union berlin</v>
      </c>
      <c r="J33" s="2" t="s">
        <v>17</v>
      </c>
      <c r="K33" s="7" t="str">
        <f>B13</f>
        <v>wolfsburg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0.00001874428498</v>
      </c>
      <c r="C36" s="10">
        <f t="shared" ref="C36:C41" si="24">$C$5*B25</f>
        <v>0.00002361779907</v>
      </c>
      <c r="D36" s="10">
        <f>$C$6*B25</f>
        <v>0.00001487921342</v>
      </c>
      <c r="E36" s="10">
        <f>$C$7*B25</f>
        <v>0.000006249269635</v>
      </c>
      <c r="F36" s="10">
        <f>$C$8*B25</f>
        <v>0.000001968519935</v>
      </c>
      <c r="G36" s="10">
        <f>$C$9*B25</f>
        <v>0.0000004960670236</v>
      </c>
      <c r="H36" s="10">
        <f>$C$10*B25</f>
        <v>0.000000104174075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0.004515924895</v>
      </c>
      <c r="C37" s="10">
        <f t="shared" si="24"/>
        <v>0.005690065368</v>
      </c>
      <c r="D37" s="7">
        <f t="shared" ref="D37:H37" si="25">D27*D17</f>
        <v>0.009745554723</v>
      </c>
      <c r="E37" s="7">
        <f t="shared" si="25"/>
        <v>0.00245587979</v>
      </c>
      <c r="F37" s="7">
        <f t="shared" si="25"/>
        <v>0.0005157347559</v>
      </c>
      <c r="G37" s="7">
        <f t="shared" si="25"/>
        <v>0.00009283225607</v>
      </c>
      <c r="H37" s="7">
        <f t="shared" si="25"/>
        <v>0.00001462108033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0.009745554723</v>
      </c>
      <c r="N37" s="7">
        <f>E27*D18</f>
        <v>0.003157842865</v>
      </c>
      <c r="O37" s="7">
        <f>F27*D19</f>
        <v>0.0008526940269</v>
      </c>
      <c r="P37" s="7">
        <f>G27*D20</f>
        <v>0.0001973554556</v>
      </c>
      <c r="Q37" s="7">
        <f>H27*D21</f>
        <v>0.00003996806333</v>
      </c>
    </row>
    <row r="38">
      <c r="A38" s="2">
        <v>3.0</v>
      </c>
      <c r="B38" s="10">
        <f t="shared" si="23"/>
        <v>0.00731645433</v>
      </c>
      <c r="C38" s="10">
        <f t="shared" si="24"/>
        <v>0.009218732456</v>
      </c>
      <c r="D38" s="10"/>
      <c r="E38" s="7">
        <f t="shared" ref="E38:H38" si="28">E28*E18</f>
        <v>0.00397888201</v>
      </c>
      <c r="F38" s="7">
        <f t="shared" si="28"/>
        <v>0.0008355652222</v>
      </c>
      <c r="G38" s="7">
        <f t="shared" si="28"/>
        <v>0.00015040174</v>
      </c>
      <c r="H38" s="7">
        <f t="shared" si="28"/>
        <v>0.00002368827405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0.00397888201</v>
      </c>
      <c r="O38" s="7">
        <f>F28*E19</f>
        <v>0.001074394474</v>
      </c>
      <c r="P38" s="7">
        <f>G28*E20</f>
        <v>0.000248667874</v>
      </c>
      <c r="Q38" s="7">
        <f>H28*E21</f>
        <v>0.00005035975979</v>
      </c>
    </row>
    <row r="39">
      <c r="A39" s="2">
        <v>4.0</v>
      </c>
      <c r="B39" s="10">
        <f t="shared" si="23"/>
        <v>0.005926859415</v>
      </c>
      <c r="C39" s="10">
        <f t="shared" si="24"/>
        <v>0.007467842863</v>
      </c>
      <c r="D39" s="10"/>
      <c r="E39" s="10"/>
      <c r="F39" s="7">
        <f t="shared" ref="F39:H39" si="29">F29*F19</f>
        <v>0.0006768685186</v>
      </c>
      <c r="G39" s="7">
        <f t="shared" si="29"/>
        <v>0.0001218363333</v>
      </c>
      <c r="H39" s="7">
        <f t="shared" si="29"/>
        <v>0.0000191892225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0.0006768685186</v>
      </c>
      <c r="P39" s="7">
        <f>G29*F20</f>
        <v>0.0001566607606</v>
      </c>
      <c r="Q39" s="7">
        <f>H29*F21</f>
        <v>0.00003172664867</v>
      </c>
    </row>
    <row r="40">
      <c r="A40" s="2">
        <v>5.0</v>
      </c>
      <c r="B40" s="10">
        <f t="shared" si="23"/>
        <v>0.00320079107</v>
      </c>
      <c r="C40" s="10">
        <f t="shared" si="24"/>
        <v>0.004032996748</v>
      </c>
      <c r="D40" s="10"/>
      <c r="E40" s="10"/>
      <c r="F40" s="10"/>
      <c r="G40" s="7">
        <f t="shared" ref="G40:H40" si="30">G30*G20</f>
        <v>0.00006579751947</v>
      </c>
      <c r="H40" s="7">
        <f t="shared" si="30"/>
        <v>0.00001036310932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0.00006579751947</v>
      </c>
      <c r="Q40" s="7">
        <f>H30*G21</f>
        <v>0.00001332519244</v>
      </c>
    </row>
    <row r="41">
      <c r="A41" s="2">
        <v>6.0</v>
      </c>
      <c r="B41" s="10">
        <f t="shared" si="23"/>
        <v>0.001296436623</v>
      </c>
      <c r="C41" s="10">
        <f t="shared" si="24"/>
        <v>0.001633510145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49</v>
      </c>
      <c r="C1" s="1" t="s">
        <v>50</v>
      </c>
      <c r="D1" s="2" t="s">
        <v>2</v>
      </c>
      <c r="G1" s="7" t="str">
        <f t="shared" ref="G1:H1" si="1">B1</f>
        <v>newcastle</v>
      </c>
      <c r="H1" s="7" t="str">
        <f t="shared" si="1"/>
        <v>bournemouth</v>
      </c>
      <c r="J1" s="3" t="str">
        <f>G1</f>
        <v>newcastle</v>
      </c>
      <c r="K1" s="3" t="s">
        <v>3</v>
      </c>
      <c r="L1" s="3" t="s">
        <v>4</v>
      </c>
      <c r="M1" s="3" t="s">
        <v>5</v>
      </c>
      <c r="N1" s="3" t="str">
        <f>H1</f>
        <v>bournemouth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0.1710105498596491</v>
      </c>
      <c r="C2" s="1">
        <v>0.2240244682127415</v>
      </c>
      <c r="D2" s="2" t="s">
        <v>7</v>
      </c>
      <c r="E2" s="1">
        <v>2.5</v>
      </c>
      <c r="F2" s="2" t="s">
        <v>8</v>
      </c>
      <c r="G2" s="1">
        <v>2.355</v>
      </c>
      <c r="H2" s="1">
        <v>3.18</v>
      </c>
      <c r="J2" s="3"/>
      <c r="K2" s="4"/>
      <c r="L2" s="5">
        <v>2.4</v>
      </c>
      <c r="M2" s="6">
        <f t="shared" ref="M2:M11" si="3">IFERROR(-ln(1-(1/L2)),0)</f>
        <v>0.5389965007</v>
      </c>
      <c r="N2" s="3"/>
      <c r="O2" s="4"/>
      <c r="P2" s="5">
        <v>3.25</v>
      </c>
      <c r="Q2" s="6">
        <f t="shared" ref="Q2:Q11" si="4">IFERROR(-ln(1-(1/P2)),0)</f>
        <v>0.3677247801</v>
      </c>
    </row>
    <row r="3">
      <c r="A3" s="2" t="s">
        <v>5</v>
      </c>
      <c r="B3" s="7">
        <f t="shared" ref="B3:C3" si="2">-ln(B2)</f>
        <v>1.766030029</v>
      </c>
      <c r="C3" s="7">
        <f t="shared" si="2"/>
        <v>1.496</v>
      </c>
      <c r="D3" s="2" t="s">
        <v>9</v>
      </c>
      <c r="E3" s="1">
        <v>1.58</v>
      </c>
      <c r="F3" s="2" t="s">
        <v>10</v>
      </c>
      <c r="G3" s="8">
        <f>1/(1/G2+SUM(D37:H40))</f>
        <v>2.223740979</v>
      </c>
      <c r="H3" s="8">
        <f>1/(1/H2+SUM(M37:Q40))</f>
        <v>2.931634998</v>
      </c>
      <c r="J3" s="3"/>
      <c r="K3" s="4"/>
      <c r="L3" s="5">
        <v>3.75</v>
      </c>
      <c r="M3" s="6">
        <f t="shared" si="3"/>
        <v>0.3101549283</v>
      </c>
      <c r="N3" s="3"/>
      <c r="O3" s="4"/>
      <c r="P3" s="5">
        <v>2.4</v>
      </c>
      <c r="Q3" s="6">
        <f t="shared" si="4"/>
        <v>0.5389965007</v>
      </c>
    </row>
    <row r="4">
      <c r="A4" s="2" t="s">
        <v>11</v>
      </c>
      <c r="J4" s="3"/>
      <c r="K4" s="4"/>
      <c r="L4" s="5">
        <v>5.0</v>
      </c>
      <c r="M4" s="6">
        <f t="shared" si="3"/>
        <v>0.2231435513</v>
      </c>
      <c r="N4" s="3"/>
      <c r="O4" s="4"/>
      <c r="P4" s="5">
        <v>2.75</v>
      </c>
      <c r="Q4" s="6">
        <f t="shared" si="4"/>
        <v>0.4519851237</v>
      </c>
    </row>
    <row r="5">
      <c r="A5" s="2">
        <v>1.0</v>
      </c>
      <c r="B5" s="7">
        <f t="shared" ref="B5:C5" si="5">((B$3^$A5)/FACT($A5))*EXP(-B$3)</f>
        <v>0.3020097664</v>
      </c>
      <c r="C5" s="7">
        <f t="shared" si="5"/>
        <v>0.3351406044</v>
      </c>
      <c r="D5" s="2">
        <v>1.5</v>
      </c>
      <c r="E5" s="7">
        <f>1/(B2*(C2+C5)+B5*C2)</f>
        <v>6.124422399</v>
      </c>
      <c r="J5" s="3"/>
      <c r="K5" s="4"/>
      <c r="L5" s="5">
        <v>8.0</v>
      </c>
      <c r="M5" s="6">
        <f t="shared" si="3"/>
        <v>0.1335313926</v>
      </c>
      <c r="N5" s="3"/>
      <c r="O5" s="4"/>
      <c r="P5" s="5">
        <v>3.75</v>
      </c>
      <c r="Q5" s="6">
        <f t="shared" si="4"/>
        <v>0.3101549283</v>
      </c>
    </row>
    <row r="6">
      <c r="A6" s="2">
        <v>2.0</v>
      </c>
      <c r="B6" s="7">
        <f t="shared" ref="B6:C6" si="6">((B$3^$A6)/FACT($A6))*EXP(-B$3)</f>
        <v>0.2666791583</v>
      </c>
      <c r="C6" s="7">
        <f t="shared" si="6"/>
        <v>0.2506851721</v>
      </c>
      <c r="D6" s="2">
        <v>2.5</v>
      </c>
      <c r="E6" s="7">
        <f>1/(B2*(C2+C5+C6)+B5*(C2+C5)+B6*C2)</f>
        <v>2.723987312</v>
      </c>
      <c r="F6" s="2" t="s">
        <v>12</v>
      </c>
      <c r="J6" s="3"/>
      <c r="K6" s="4"/>
      <c r="L6" s="5">
        <v>3.5</v>
      </c>
      <c r="M6" s="6">
        <f t="shared" si="3"/>
        <v>0.3364722366</v>
      </c>
      <c r="N6" s="3"/>
      <c r="O6" s="4"/>
      <c r="P6" s="5">
        <v>11.0</v>
      </c>
      <c r="Q6" s="6">
        <f t="shared" si="4"/>
        <v>0.0953101798</v>
      </c>
    </row>
    <row r="7">
      <c r="A7" s="2">
        <v>3.0</v>
      </c>
      <c r="B7" s="7">
        <f t="shared" ref="B7:C7" si="7">((B$3^$A7)/FACT($A7))*EXP(-B$3)</f>
        <v>0.1569878006</v>
      </c>
      <c r="C7" s="7">
        <f t="shared" si="7"/>
        <v>0.1250083392</v>
      </c>
      <c r="D7" s="2">
        <v>3.5</v>
      </c>
      <c r="E7" s="7">
        <f>1/(B2*(C2+C5+C6+C7)+B5*(C2+C5+C6)+B6*(C2+C5)+B7*C2)</f>
        <v>1.698542237</v>
      </c>
      <c r="F7" s="7" t="str">
        <f>B1</f>
        <v>newcastle</v>
      </c>
      <c r="G7" s="2" t="s">
        <v>13</v>
      </c>
      <c r="H7" s="7" t="str">
        <f>C1</f>
        <v>bournemouth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12.0</v>
      </c>
      <c r="Q7" s="6">
        <f t="shared" si="4"/>
        <v>0.08701137699</v>
      </c>
    </row>
    <row r="8">
      <c r="A8" s="2">
        <v>4.0</v>
      </c>
      <c r="B8" s="7">
        <f t="shared" ref="B8:C8" si="8">((B$3^$A8)/FACT($A8))*EXP(-B$3)</f>
        <v>0.06931129251</v>
      </c>
      <c r="C8" s="7">
        <f t="shared" si="8"/>
        <v>0.04675311885</v>
      </c>
      <c r="D8" s="2">
        <v>4.5</v>
      </c>
      <c r="E8" s="7">
        <f>1/(B2*(C2+C5+C6+C7+C8)+B5*(C2+C5+C6+C7)+B6*(C2+C5+C6)+B7*(C2+C5)+B8*C2)</f>
        <v>1.299575421</v>
      </c>
      <c r="F8" s="7">
        <f>B5*C2+B6*(C5+C2)+B7*(C6+C5+C2)+B8*(C7+C6+C5+C2)+B9*(C8+C7+C6+C5+C2)+B10*(C9+C8+C7+C6+C5+C2)+B11*(C10+C9+C8+C7+C6+C5+C2)+B12*(C11+C10+C9+C8+C7+C6+C5+C2)</f>
        <v>0.4421306827</v>
      </c>
      <c r="G8" s="7">
        <f>B2*C2+B5*C5+B6*C6+B7*C7+B8*C8+B9*C9+B10*C10+B11*C11+B12*C12</f>
        <v>0.229613096</v>
      </c>
      <c r="H8" s="7">
        <f>C5*B2+C6*(B5+B2)+C7*(B6+B5+B2)+C8*(B7+B6+B5+B2)+C9*(B8+B7+B6+B5+B2)+C10*(B9+B8+B7+B6+B5+B2)+C11*(B10+B9+B7+B8+B6+B5+B2)</f>
        <v>0.3279944628</v>
      </c>
      <c r="J8" s="3"/>
      <c r="K8" s="4"/>
      <c r="L8" s="5">
        <v>6.0</v>
      </c>
      <c r="M8" s="6">
        <f t="shared" si="3"/>
        <v>0.1823215568</v>
      </c>
      <c r="N8" s="3"/>
      <c r="O8" s="4"/>
      <c r="P8" s="5">
        <v>10.5</v>
      </c>
      <c r="Q8" s="6">
        <f t="shared" si="4"/>
        <v>0.1000834586</v>
      </c>
    </row>
    <row r="9">
      <c r="A9" s="2">
        <v>5.0</v>
      </c>
      <c r="B9" s="7">
        <f t="shared" ref="B9:C9" si="9">((B$3^$A9)/FACT($A9))*EXP(-B$3)</f>
        <v>0.02448116479</v>
      </c>
      <c r="C9" s="7">
        <f t="shared" si="9"/>
        <v>0.01398853316</v>
      </c>
      <c r="F9" s="9">
        <f t="shared" ref="F9:H9" si="10">1/F8</f>
        <v>2.261774718</v>
      </c>
      <c r="G9" s="9">
        <f t="shared" si="10"/>
        <v>4.355152286</v>
      </c>
      <c r="H9" s="9">
        <f t="shared" si="10"/>
        <v>3.048831957</v>
      </c>
      <c r="J9" s="3"/>
      <c r="K9" s="4"/>
      <c r="L9" s="5">
        <v>5.0</v>
      </c>
      <c r="M9" s="6">
        <f t="shared" si="3"/>
        <v>0.2231435513</v>
      </c>
      <c r="N9" s="3"/>
      <c r="O9" s="4"/>
      <c r="P9" s="5">
        <v>15.0</v>
      </c>
      <c r="Q9" s="6">
        <f t="shared" si="4"/>
        <v>0.06899287149</v>
      </c>
    </row>
    <row r="10">
      <c r="A10" s="2">
        <v>6.0</v>
      </c>
      <c r="B10" s="7">
        <f t="shared" ref="B10:C10" si="11">((B$3^$A10)/FACT($A10))*EXP(-B$3)</f>
        <v>0.007205745361</v>
      </c>
      <c r="C10" s="7">
        <f t="shared" si="11"/>
        <v>0.003487807601</v>
      </c>
      <c r="J10" s="3"/>
      <c r="K10" s="4"/>
      <c r="L10" s="5">
        <v>12.0</v>
      </c>
      <c r="M10" s="6">
        <f t="shared" si="3"/>
        <v>0.08701137699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0.001817937527</v>
      </c>
      <c r="C11" s="7">
        <f t="shared" si="12"/>
        <v>0.0007453943102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12.5</v>
      </c>
      <c r="Q11" s="6">
        <f t="shared" si="4"/>
        <v>0.08338160894</v>
      </c>
    </row>
    <row r="12">
      <c r="A12" s="2">
        <v>8.0</v>
      </c>
      <c r="B12" s="7">
        <f t="shared" ref="B12:C12" si="13">((B$3^$A12)/FACT($A12))*EXP(-B$3)</f>
        <v>0.0004013165331</v>
      </c>
      <c r="C12" s="7">
        <f t="shared" si="13"/>
        <v>0.000139388736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bournemouth</v>
      </c>
      <c r="J13" s="3"/>
      <c r="K13" s="3"/>
      <c r="L13" s="3" t="s">
        <v>14</v>
      </c>
      <c r="M13" s="6">
        <f>SUM(M2:M11)</f>
        <v>2.209128482</v>
      </c>
      <c r="N13" s="3"/>
      <c r="O13" s="3"/>
      <c r="P13" s="3" t="s">
        <v>14</v>
      </c>
      <c r="Q13" s="6">
        <f>SUM(Q2:Q11)</f>
        <v>2.1726337</v>
      </c>
    </row>
    <row r="14">
      <c r="A14" s="7" t="str">
        <f>B1</f>
        <v>newcastle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1.829980682</v>
      </c>
      <c r="N14" s="3"/>
      <c r="O14" s="3"/>
      <c r="P14" s="3" t="s">
        <v>15</v>
      </c>
      <c r="Q14" s="6">
        <f>SUM(Q2:Q8)</f>
        <v>1.951266348</v>
      </c>
    </row>
    <row r="15">
      <c r="A15" s="2">
        <v>0.0</v>
      </c>
      <c r="B15" s="7">
        <f>B2*$C$2</f>
        <v>0.03831054749</v>
      </c>
      <c r="C15" s="7">
        <f>C5*B2</f>
        <v>0.05731257905</v>
      </c>
      <c r="D15" s="7">
        <f>C6*B2</f>
        <v>0.04286980913</v>
      </c>
      <c r="E15" s="7">
        <f>C7*B2</f>
        <v>0.02137774482</v>
      </c>
      <c r="F15" s="7">
        <f>C8*B2</f>
        <v>0.007995276562</v>
      </c>
      <c r="G15" s="7">
        <f>C9*B2</f>
        <v>0.002392186747</v>
      </c>
      <c r="H15" s="7">
        <f>$C$10*B2</f>
        <v>0.0005964518957</v>
      </c>
    </row>
    <row r="16">
      <c r="A16" s="2">
        <v>1.0</v>
      </c>
      <c r="B16" s="7">
        <f t="shared" ref="B16:B21" si="14">B5*$C$2</f>
        <v>0.06765757731</v>
      </c>
      <c r="C16" s="7">
        <f t="shared" ref="C16:C21" si="15">$C$5*B5</f>
        <v>0.1012157357</v>
      </c>
      <c r="D16" s="7">
        <f t="shared" ref="D16:D21" si="16">$C$6*B5</f>
        <v>0.07570937027</v>
      </c>
      <c r="E16" s="7">
        <f t="shared" ref="E16:E21" si="17">$C$7*B5</f>
        <v>0.03775373931</v>
      </c>
      <c r="F16" s="7">
        <f t="shared" ref="F16:F21" si="18">$C$8*B5</f>
        <v>0.0141198985</v>
      </c>
      <c r="G16" s="7">
        <f t="shared" ref="G16:G21" si="19">$C$9*B5</f>
        <v>0.004224673631</v>
      </c>
      <c r="H16" s="7">
        <f t="shared" ref="H16:H21" si="20">$C$10*B5</f>
        <v>0.001053351959</v>
      </c>
    </row>
    <row r="17">
      <c r="A17" s="2">
        <v>2.0</v>
      </c>
      <c r="B17" s="7">
        <f t="shared" si="14"/>
        <v>0.05974265662</v>
      </c>
      <c r="C17" s="7">
        <f t="shared" si="15"/>
        <v>0.0893750143</v>
      </c>
      <c r="D17" s="7">
        <f t="shared" si="16"/>
        <v>0.0668525107</v>
      </c>
      <c r="E17" s="7">
        <f t="shared" si="17"/>
        <v>0.03333711867</v>
      </c>
      <c r="F17" s="7">
        <f t="shared" si="18"/>
        <v>0.01246808238</v>
      </c>
      <c r="G17" s="7">
        <f t="shared" si="19"/>
        <v>0.003730450249</v>
      </c>
      <c r="H17" s="7">
        <f t="shared" si="20"/>
        <v>0.0009301255953</v>
      </c>
    </row>
    <row r="18">
      <c r="A18" s="2">
        <v>3.0</v>
      </c>
      <c r="B18" s="7">
        <f t="shared" si="14"/>
        <v>0.03516910854</v>
      </c>
      <c r="C18" s="7">
        <f t="shared" si="15"/>
        <v>0.05261298637</v>
      </c>
      <c r="D18" s="7">
        <f t="shared" si="16"/>
        <v>0.03935451381</v>
      </c>
      <c r="E18" s="7">
        <f t="shared" si="17"/>
        <v>0.01962478422</v>
      </c>
      <c r="F18" s="7">
        <f t="shared" si="18"/>
        <v>0.007339669298</v>
      </c>
      <c r="G18" s="7">
        <f t="shared" si="19"/>
        <v>0.002196029054</v>
      </c>
      <c r="H18" s="7">
        <f t="shared" si="20"/>
        <v>0.0005475432441</v>
      </c>
    </row>
    <row r="19">
      <c r="A19" s="2">
        <v>4.0</v>
      </c>
      <c r="B19" s="7">
        <f t="shared" si="14"/>
        <v>0.01552742545</v>
      </c>
      <c r="C19" s="7">
        <f t="shared" si="15"/>
        <v>0.02322902847</v>
      </c>
      <c r="D19" s="7">
        <f t="shared" si="16"/>
        <v>0.01737531329</v>
      </c>
      <c r="E19" s="7">
        <f t="shared" si="17"/>
        <v>0.008664489562</v>
      </c>
      <c r="F19" s="7">
        <f t="shared" si="18"/>
        <v>0.003240519096</v>
      </c>
      <c r="G19" s="7">
        <f t="shared" si="19"/>
        <v>0.0009695633136</v>
      </c>
      <c r="H19" s="7">
        <f t="shared" si="20"/>
        <v>0.0002417444529</v>
      </c>
    </row>
    <row r="20">
      <c r="A20" s="2">
        <v>5.0</v>
      </c>
      <c r="B20" s="7">
        <f t="shared" si="14"/>
        <v>0.005484379923</v>
      </c>
      <c r="C20" s="7">
        <f t="shared" si="15"/>
        <v>0.008204632365</v>
      </c>
      <c r="D20" s="7">
        <f t="shared" si="16"/>
        <v>0.006137065009</v>
      </c>
      <c r="E20" s="7">
        <f t="shared" si="17"/>
        <v>0.003060349751</v>
      </c>
      <c r="F20" s="7">
        <f t="shared" si="18"/>
        <v>0.001144570807</v>
      </c>
      <c r="G20" s="7">
        <f t="shared" si="19"/>
        <v>0.0003424555854</v>
      </c>
      <c r="H20" s="7">
        <f t="shared" si="20"/>
        <v>0.00008538559263</v>
      </c>
    </row>
    <row r="21">
      <c r="A21" s="2">
        <v>6.0</v>
      </c>
      <c r="B21" s="7">
        <f t="shared" si="14"/>
        <v>0.001614263273</v>
      </c>
      <c r="C21" s="7">
        <f t="shared" si="15"/>
        <v>0.002414937856</v>
      </c>
      <c r="D21" s="7">
        <f t="shared" si="16"/>
        <v>0.001806373516</v>
      </c>
      <c r="E21" s="7">
        <f t="shared" si="17"/>
        <v>0.0009007782601</v>
      </c>
      <c r="F21" s="7">
        <f t="shared" si="18"/>
        <v>0.0003368910693</v>
      </c>
      <c r="G21" s="7">
        <f t="shared" si="19"/>
        <v>0.0001007978079</v>
      </c>
      <c r="H21" s="7">
        <f t="shared" si="20"/>
        <v>0.00002513225344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0.00008990472291</v>
      </c>
      <c r="C25" s="10">
        <f>C15*B12</f>
        <v>0.00002300048553</v>
      </c>
      <c r="D25" s="10">
        <f>C16*B12</f>
        <v>0.00004061954813</v>
      </c>
      <c r="E25" s="10">
        <f>C17*B12</f>
        <v>0.00003586767088</v>
      </c>
      <c r="F25" s="10">
        <f>C18*B12</f>
        <v>0.00002111446129</v>
      </c>
      <c r="G25" s="10">
        <f>C19*B12</f>
        <v>0.000009322193172</v>
      </c>
      <c r="H25" s="10">
        <f>$C$10*B12</f>
        <v>0.000001399714855</v>
      </c>
    </row>
    <row r="26">
      <c r="A26" s="2">
        <v>1.0</v>
      </c>
      <c r="B26" s="10">
        <f t="shared" ref="B26:B31" si="21">B15*$C$2</f>
        <v>0.008582500029</v>
      </c>
      <c r="C26" s="10">
        <f t="shared" ref="C26:C31" si="22">$C$5*B15</f>
        <v>0.01283942004</v>
      </c>
      <c r="D26" s="10">
        <f>$C$6*B15</f>
        <v>0.009603886192</v>
      </c>
      <c r="E26" s="10">
        <f>$C$7*B15</f>
        <v>0.004789137914</v>
      </c>
      <c r="F26" s="10">
        <f>$C$8*B15</f>
        <v>0.00179113758</v>
      </c>
      <c r="G26" s="10">
        <f>$C$9*B15</f>
        <v>0.0005359083639</v>
      </c>
      <c r="H26" s="10">
        <f>$C$10*B15</f>
        <v>0.0001336198187</v>
      </c>
    </row>
    <row r="27">
      <c r="A27" s="2">
        <v>2.0</v>
      </c>
      <c r="B27" s="10">
        <f t="shared" si="21"/>
        <v>0.01515695278</v>
      </c>
      <c r="C27" s="10">
        <f t="shared" si="22"/>
        <v>0.02267480135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0.01338381688</v>
      </c>
      <c r="C28" s="10">
        <f t="shared" si="22"/>
        <v>0.02002219005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0.007878740838</v>
      </c>
      <c r="C29" s="10">
        <f t="shared" si="22"/>
        <v>0.01178659629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0.003478523228</v>
      </c>
      <c r="C30" s="10">
        <f t="shared" si="22"/>
        <v>0.005203870749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0.001228635296</v>
      </c>
      <c r="C31" s="10">
        <f t="shared" si="22"/>
        <v>0.001838038402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newcastle</v>
      </c>
      <c r="J33" s="2" t="s">
        <v>17</v>
      </c>
      <c r="K33" s="7" t="str">
        <f>B13</f>
        <v>bournemouth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0.00002014085774</v>
      </c>
      <c r="C36" s="10">
        <f t="shared" ref="C36:C41" si="24">$C$5*B25</f>
        <v>0.00003013072318</v>
      </c>
      <c r="D36" s="10">
        <f>$C$6*B25</f>
        <v>0.00002253778094</v>
      </c>
      <c r="E36" s="10">
        <f>$C$7*B25</f>
        <v>0.00001123884009</v>
      </c>
      <c r="F36" s="10">
        <f>$C$8*B25</f>
        <v>0.000004203326195</v>
      </c>
      <c r="G36" s="10">
        <f>$C$9*B25</f>
        <v>0.000001257635198</v>
      </c>
      <c r="H36" s="10">
        <f>$C$10*B25</f>
        <v>0.0000003135703759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0.001922690005</v>
      </c>
      <c r="C37" s="10">
        <f t="shared" si="24"/>
        <v>0.002876344247</v>
      </c>
      <c r="D37" s="7">
        <f t="shared" ref="D37:H37" si="25">D27*D17</f>
        <v>0.01114208512</v>
      </c>
      <c r="E37" s="7">
        <f t="shared" si="25"/>
        <v>0.003333711867</v>
      </c>
      <c r="F37" s="7">
        <f t="shared" si="25"/>
        <v>0.0008312054921</v>
      </c>
      <c r="G37" s="7">
        <f t="shared" si="25"/>
        <v>0.000177640488</v>
      </c>
      <c r="H37" s="7">
        <f t="shared" si="25"/>
        <v>0.00003321877126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0.01114208512</v>
      </c>
      <c r="N37" s="7">
        <f>E27*D18</f>
        <v>0.003935451381</v>
      </c>
      <c r="O37" s="7">
        <f>F27*D19</f>
        <v>0.00115835422</v>
      </c>
      <c r="P37" s="7">
        <f>G27*D20</f>
        <v>0.0002922411909</v>
      </c>
      <c r="Q37" s="7">
        <f>H27*D21</f>
        <v>0.00006451333987</v>
      </c>
    </row>
    <row r="38">
      <c r="A38" s="2">
        <v>3.0</v>
      </c>
      <c r="B38" s="10">
        <f t="shared" si="23"/>
        <v>0.003395528286</v>
      </c>
      <c r="C38" s="10">
        <f t="shared" si="24"/>
        <v>0.005079710315</v>
      </c>
      <c r="D38" s="10"/>
      <c r="E38" s="7">
        <f t="shared" ref="E38:H38" si="28">E28*E18</f>
        <v>0.005887435266</v>
      </c>
      <c r="F38" s="7">
        <f t="shared" si="28"/>
        <v>0.00146793386</v>
      </c>
      <c r="G38" s="7">
        <f t="shared" si="28"/>
        <v>0.0003137184363</v>
      </c>
      <c r="H38" s="7">
        <f t="shared" si="28"/>
        <v>0.00005866534758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0.005887435266</v>
      </c>
      <c r="O38" s="7">
        <f>F28*E19</f>
        <v>0.001732897912</v>
      </c>
      <c r="P38" s="7">
        <f>G28*E20</f>
        <v>0.0004371928216</v>
      </c>
      <c r="Q38" s="7">
        <f>H28*E21</f>
        <v>0.00009651195644</v>
      </c>
    </row>
    <row r="39">
      <c r="A39" s="2">
        <v>4.0</v>
      </c>
      <c r="B39" s="10">
        <f t="shared" si="23"/>
        <v>0.002998302459</v>
      </c>
      <c r="C39" s="10">
        <f t="shared" si="24"/>
        <v>0.004485460478</v>
      </c>
      <c r="D39" s="10"/>
      <c r="E39" s="10"/>
      <c r="F39" s="7">
        <f t="shared" ref="F39:H39" si="29">F29*F19</f>
        <v>0.001296207639</v>
      </c>
      <c r="G39" s="7">
        <f t="shared" si="29"/>
        <v>0.0002770180896</v>
      </c>
      <c r="H39" s="7">
        <f t="shared" si="29"/>
        <v>0.00005180238276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0.001296207639</v>
      </c>
      <c r="P39" s="7">
        <f>G29*F20</f>
        <v>0.0003270202305</v>
      </c>
      <c r="Q39" s="7">
        <f>H29*F21</f>
        <v>0.00007219094342</v>
      </c>
    </row>
    <row r="40">
      <c r="A40" s="2">
        <v>5.0</v>
      </c>
      <c r="B40" s="10">
        <f t="shared" si="23"/>
        <v>0.001765030726</v>
      </c>
      <c r="C40" s="10">
        <f t="shared" si="24"/>
        <v>0.002640485967</v>
      </c>
      <c r="D40" s="10"/>
      <c r="E40" s="10"/>
      <c r="F40" s="10"/>
      <c r="G40" s="7">
        <f t="shared" ref="G40:H40" si="30">G30*G20</f>
        <v>0.0001630740883</v>
      </c>
      <c r="H40" s="7">
        <f t="shared" si="30"/>
        <v>0.00003049485451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0.0001630740883</v>
      </c>
      <c r="Q40" s="7">
        <f>H30*G21</f>
        <v>0.00003599921712</v>
      </c>
    </row>
    <row r="41">
      <c r="A41" s="2">
        <v>6.0</v>
      </c>
      <c r="B41" s="10">
        <f t="shared" si="23"/>
        <v>0.0007792743164</v>
      </c>
      <c r="C41" s="10">
        <f t="shared" si="24"/>
        <v>0.001165794377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27</v>
      </c>
      <c r="C1" s="1" t="s">
        <v>51</v>
      </c>
      <c r="D1" s="2" t="s">
        <v>2</v>
      </c>
      <c r="G1" s="2" t="str">
        <f t="shared" ref="G1:H1" si="1">B1</f>
        <v>psg</v>
      </c>
      <c r="H1" s="2" t="str">
        <f t="shared" si="1"/>
        <v>nantes</v>
      </c>
      <c r="J1" s="3" t="str">
        <f>G1</f>
        <v>psg</v>
      </c>
      <c r="K1" s="3" t="s">
        <v>3</v>
      </c>
      <c r="L1" s="3" t="s">
        <v>4</v>
      </c>
      <c r="M1" s="3" t="s">
        <v>5</v>
      </c>
      <c r="N1" s="3" t="str">
        <f>H1</f>
        <v>nantes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0.04360712746722055</v>
      </c>
      <c r="C2" s="1">
        <v>0.5336580505029904</v>
      </c>
      <c r="D2" s="2" t="s">
        <v>7</v>
      </c>
      <c r="E2" s="1">
        <v>2.5</v>
      </c>
      <c r="F2" s="2" t="s">
        <v>8</v>
      </c>
      <c r="G2" s="1">
        <v>1.175</v>
      </c>
      <c r="H2" s="1">
        <v>22.5</v>
      </c>
      <c r="J2" s="3"/>
      <c r="K2" s="4"/>
      <c r="L2" s="5">
        <v>2.5</v>
      </c>
      <c r="M2" s="6">
        <f t="shared" ref="M2:M11" si="3">IFERROR(-ln(1-(1/L2)),0)</f>
        <v>0.5108256238</v>
      </c>
      <c r="N2" s="3"/>
      <c r="O2" s="4"/>
      <c r="P2" s="5">
        <v>2.9</v>
      </c>
      <c r="Q2" s="6">
        <f t="shared" ref="Q2:Q11" si="4">IFERROR(-ln(1-(1/P2)),0)</f>
        <v>0.4228568508</v>
      </c>
    </row>
    <row r="3">
      <c r="A3" s="2" t="s">
        <v>5</v>
      </c>
      <c r="B3" s="7">
        <f t="shared" ref="B3:C3" si="2">-ln(B2)</f>
        <v>3.132534668</v>
      </c>
      <c r="C3" s="7">
        <f t="shared" si="2"/>
        <v>0.628</v>
      </c>
      <c r="D3" s="2" t="s">
        <v>9</v>
      </c>
      <c r="E3" s="1">
        <v>1.38</v>
      </c>
      <c r="F3" s="2" t="s">
        <v>10</v>
      </c>
      <c r="G3" s="8">
        <f>1/(1/G2+SUM(D37:H40))</f>
        <v>1.166483376</v>
      </c>
      <c r="H3" s="8">
        <f>1/(1/H2+SUM(M37:Q40))</f>
        <v>17.9561527</v>
      </c>
      <c r="J3" s="3"/>
      <c r="K3" s="4"/>
      <c r="L3" s="5">
        <v>4.0</v>
      </c>
      <c r="M3" s="6">
        <f t="shared" si="3"/>
        <v>0.2876820725</v>
      </c>
      <c r="N3" s="3"/>
      <c r="O3" s="4"/>
      <c r="P3" s="5">
        <v>3.75</v>
      </c>
      <c r="Q3" s="6">
        <f t="shared" si="4"/>
        <v>0.3101549283</v>
      </c>
    </row>
    <row r="4">
      <c r="A4" s="2" t="s">
        <v>11</v>
      </c>
      <c r="J4" s="3"/>
      <c r="K4" s="4"/>
      <c r="L4" s="5">
        <v>5.0</v>
      </c>
      <c r="M4" s="6">
        <f t="shared" si="3"/>
        <v>0.2231435513</v>
      </c>
      <c r="N4" s="3"/>
      <c r="O4" s="4"/>
      <c r="P4" s="5">
        <v>4.0</v>
      </c>
      <c r="Q4" s="6">
        <f t="shared" si="4"/>
        <v>0.2876820725</v>
      </c>
    </row>
    <row r="5">
      <c r="A5" s="2">
        <v>1.0</v>
      </c>
      <c r="B5" s="7">
        <f t="shared" ref="B5:C5" si="5">((B$3^$A5)/FACT($A5))*EXP(-B$3)</f>
        <v>0.1366008386</v>
      </c>
      <c r="C5" s="7">
        <f t="shared" si="5"/>
        <v>0.3351372557</v>
      </c>
      <c r="D5" s="2">
        <v>1.5</v>
      </c>
      <c r="E5" s="7">
        <f>1/(B2*(C2+C5)+B5*C2)</f>
        <v>9.026590134</v>
      </c>
      <c r="J5" s="3"/>
      <c r="K5" s="4"/>
      <c r="L5" s="5">
        <v>5.0</v>
      </c>
      <c r="M5" s="6">
        <f t="shared" si="3"/>
        <v>0.2231435513</v>
      </c>
      <c r="N5" s="3"/>
      <c r="O5" s="4"/>
      <c r="P5" s="5">
        <v>6.0</v>
      </c>
      <c r="Q5" s="6">
        <f t="shared" si="4"/>
        <v>0.1823215568</v>
      </c>
    </row>
    <row r="6">
      <c r="A6" s="2">
        <v>2.0</v>
      </c>
      <c r="B6" s="7">
        <f t="shared" ref="B6:C6" si="6">((B$3^$A6)/FACT($A6))*EXP(-B$3)</f>
        <v>0.2139534312</v>
      </c>
      <c r="C6" s="7">
        <f t="shared" si="6"/>
        <v>0.1052330983</v>
      </c>
      <c r="D6" s="2">
        <v>2.5</v>
      </c>
      <c r="E6" s="7">
        <f>1/(B2*(C2+C5+C6)+B5*(C2+C5)+B6*C2)</f>
        <v>3.631995743</v>
      </c>
      <c r="F6" s="2" t="s">
        <v>12</v>
      </c>
      <c r="J6" s="3"/>
      <c r="K6" s="4"/>
      <c r="L6" s="5">
        <v>8.0</v>
      </c>
      <c r="M6" s="6">
        <f t="shared" si="3"/>
        <v>0.1335313926</v>
      </c>
      <c r="N6" s="3"/>
      <c r="O6" s="4"/>
      <c r="P6" s="5">
        <v>8.0</v>
      </c>
      <c r="Q6" s="6">
        <f t="shared" si="4"/>
        <v>0.1335313926</v>
      </c>
    </row>
    <row r="7">
      <c r="A7" s="2">
        <v>3.0</v>
      </c>
      <c r="B7" s="7">
        <f t="shared" ref="B7:C7" si="7">((B$3^$A7)/FACT($A7))*EXP(-B$3)</f>
        <v>0.2234055136</v>
      </c>
      <c r="C7" s="7">
        <f t="shared" si="7"/>
        <v>0.02202879524</v>
      </c>
      <c r="D7" s="2">
        <v>3.5</v>
      </c>
      <c r="E7" s="7">
        <f>1/(B2*(C2+C5+C6+C7)+B5*(C2+C5+C6)+B6*(C2+C5)+B7*C2)</f>
        <v>2.076445686</v>
      </c>
      <c r="F7" s="7" t="str">
        <f>B1</f>
        <v>psg</v>
      </c>
      <c r="G7" s="2" t="s">
        <v>13</v>
      </c>
      <c r="H7" s="7" t="str">
        <f>C1</f>
        <v>nantes</v>
      </c>
      <c r="J7" s="3"/>
      <c r="K7" s="4"/>
      <c r="L7" s="5">
        <v>12.0</v>
      </c>
      <c r="M7" s="6">
        <f t="shared" si="3"/>
        <v>0.08701137699</v>
      </c>
      <c r="N7" s="3"/>
      <c r="O7" s="4"/>
      <c r="P7" s="5">
        <v>8.25</v>
      </c>
      <c r="Q7" s="6">
        <f t="shared" si="4"/>
        <v>0.1292117315</v>
      </c>
    </row>
    <row r="8">
      <c r="A8" s="2">
        <v>4.0</v>
      </c>
      <c r="B8" s="7">
        <f t="shared" ref="B8:C8" si="8">((B$3^$A8)/FACT($A8))*EXP(-B$3)</f>
        <v>0.1749563791</v>
      </c>
      <c r="C8" s="7">
        <f t="shared" si="8"/>
        <v>0.003458520853</v>
      </c>
      <c r="D8" s="2">
        <v>4.5</v>
      </c>
      <c r="E8" s="7">
        <f>1/(B2*(C2+C5+C6+C7+C8)+B5*(C2+C5+C6+C7)+B6*(C2+C5+C6)+B7*(C2+C5)+B8*C2)</f>
        <v>1.480372805</v>
      </c>
      <c r="F8" s="7">
        <f>B5*C2+B6*(C5+C2)+B7*(C6+C5+C2)+B8*(C7+C6+C5+C2)+B9*(C8+C7+C6+C5+C2)+B10*(C9+C8+C7+C6+C5+C2)+B11*(C10+C9+C8+C7+C6+C5+C2)+B12*(C11+C10+C9+C8+C7+C6+C5+C2)</f>
        <v>0.85306908</v>
      </c>
      <c r="G8" s="7">
        <f>B2*C2+B5*C5+B6*C6+B7*C7+B8*C8+B9*C9+B10*C10+B11*C11+B12*C12</f>
        <v>0.09714307553</v>
      </c>
      <c r="H8" s="7">
        <f>C5*B2+C6*(B5+B2)+C7*(B6+B5+B2)+C8*(B7+B6+B5+B2)+C9*(B8+B7+B6+B5+B2)+C10*(B9+B8+B7+B6+B5+B2)+C11*(B10+B9+B7+B8+B6+B5+B2)</f>
        <v>0.04478617857</v>
      </c>
      <c r="J8" s="3"/>
      <c r="K8" s="4"/>
      <c r="L8" s="5">
        <v>12.0</v>
      </c>
      <c r="M8" s="6">
        <f t="shared" si="3"/>
        <v>0.08701137699</v>
      </c>
      <c r="N8" s="3"/>
      <c r="O8" s="4"/>
      <c r="P8" s="5">
        <v>8.0</v>
      </c>
      <c r="Q8" s="6">
        <f t="shared" si="4"/>
        <v>0.1335313926</v>
      </c>
    </row>
    <row r="9">
      <c r="A9" s="2">
        <v>5.0</v>
      </c>
      <c r="B9" s="7">
        <f t="shared" ref="B9:C9" si="9">((B$3^$A9)/FACT($A9))*EXP(-B$3)</f>
        <v>0.1096113846</v>
      </c>
      <c r="C9" s="7">
        <f t="shared" si="9"/>
        <v>0.0004343902192</v>
      </c>
      <c r="F9" s="9">
        <f t="shared" ref="F9:H9" si="10">1/F8</f>
        <v>1.172238009</v>
      </c>
      <c r="G9" s="9">
        <f t="shared" si="10"/>
        <v>10.29409451</v>
      </c>
      <c r="H9" s="9">
        <f t="shared" si="10"/>
        <v>22.32831717</v>
      </c>
      <c r="J9" s="3"/>
      <c r="K9" s="4"/>
      <c r="L9" s="5">
        <v>15.0</v>
      </c>
      <c r="M9" s="6">
        <f t="shared" si="3"/>
        <v>0.06899287149</v>
      </c>
      <c r="N9" s="3"/>
      <c r="O9" s="4"/>
      <c r="P9" s="5">
        <v>10.0</v>
      </c>
      <c r="Q9" s="6">
        <f t="shared" si="4"/>
        <v>0.1053605157</v>
      </c>
    </row>
    <row r="10">
      <c r="A10" s="2">
        <v>6.0</v>
      </c>
      <c r="B10" s="7">
        <f t="shared" ref="B10:C10" si="11">((B$3^$A10)/FACT($A10))*EXP(-B$3)</f>
        <v>0.05722691035</v>
      </c>
      <c r="C10" s="7">
        <f t="shared" si="11"/>
        <v>0.00004546617627</v>
      </c>
      <c r="J10" s="3"/>
      <c r="K10" s="4"/>
      <c r="L10" s="5">
        <v>15.0</v>
      </c>
      <c r="M10" s="6">
        <f t="shared" si="3"/>
        <v>0.06899287149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0.0256093258</v>
      </c>
      <c r="C11" s="7">
        <f t="shared" si="12"/>
        <v>0.000004078965528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15.0</v>
      </c>
      <c r="Q11" s="6">
        <f t="shared" si="4"/>
        <v>0.06899287149</v>
      </c>
    </row>
    <row r="12">
      <c r="A12" s="2">
        <v>8.0</v>
      </c>
      <c r="B12" s="7">
        <f t="shared" ref="B12:C12" si="13">((B$3^$A12)/FACT($A12))*EXP(-B$3)</f>
        <v>0.01002776261</v>
      </c>
      <c r="C12" s="7">
        <f t="shared" si="13"/>
        <v>0.000000320198794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nantes</v>
      </c>
      <c r="J13" s="3"/>
      <c r="K13" s="3"/>
      <c r="L13" s="3" t="s">
        <v>14</v>
      </c>
      <c r="M13" s="6">
        <f>SUM(M2:M11)</f>
        <v>1.75932756</v>
      </c>
      <c r="N13" s="3"/>
      <c r="O13" s="3"/>
      <c r="P13" s="3" t="s">
        <v>14</v>
      </c>
      <c r="Q13" s="6">
        <f>SUM(Q2:Q11)</f>
        <v>1.842636184</v>
      </c>
    </row>
    <row r="14">
      <c r="A14" s="7" t="str">
        <f>B1</f>
        <v>psg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1.552348945</v>
      </c>
      <c r="N14" s="3"/>
      <c r="O14" s="3"/>
      <c r="P14" s="3" t="s">
        <v>15</v>
      </c>
      <c r="Q14" s="6">
        <f>SUM(Q2:Q8)</f>
        <v>1.599289925</v>
      </c>
    </row>
    <row r="15">
      <c r="A15" s="2">
        <v>0.0</v>
      </c>
      <c r="B15" s="7">
        <f>B2*$C$2</f>
        <v>0.02327129463</v>
      </c>
      <c r="C15" s="7">
        <f>C5*B2</f>
        <v>0.01461437303</v>
      </c>
      <c r="D15" s="7">
        <f>C6*B2</f>
        <v>0.004588913131</v>
      </c>
      <c r="E15" s="7">
        <f>C7*B2</f>
        <v>0.0009606124821</v>
      </c>
      <c r="F15" s="7">
        <f>C8*B2</f>
        <v>0.0001508161597</v>
      </c>
      <c r="G15" s="7">
        <f>C9*B2</f>
        <v>0.00001894250966</v>
      </c>
      <c r="H15" s="7">
        <f>$C$10*B2</f>
        <v>0.000001982649344</v>
      </c>
    </row>
    <row r="16">
      <c r="A16" s="2">
        <v>1.0</v>
      </c>
      <c r="B16" s="7">
        <f t="shared" ref="B16:B21" si="14">B5*$C$2</f>
        <v>0.0728981372</v>
      </c>
      <c r="C16" s="7">
        <f t="shared" ref="C16:C21" si="15">$C$5*B5</f>
        <v>0.04578003016</v>
      </c>
      <c r="D16" s="7">
        <f t="shared" ref="D16:D21" si="16">$C$6*B5</f>
        <v>0.01437492947</v>
      </c>
      <c r="E16" s="7">
        <f t="shared" ref="E16:E21" si="17">$C$7*B5</f>
        <v>0.003009151903</v>
      </c>
      <c r="F16" s="7">
        <f t="shared" ref="F16:F21" si="18">$C$8*B5</f>
        <v>0.0004724368487</v>
      </c>
      <c r="G16" s="7">
        <f t="shared" ref="G16:G21" si="19">$C$9*B5</f>
        <v>0.0000593380682</v>
      </c>
      <c r="H16" s="7">
        <f t="shared" ref="H16:H21" si="20">$C$10*B5</f>
        <v>0.000006210717805</v>
      </c>
    </row>
    <row r="17">
      <c r="A17" s="2">
        <v>2.0</v>
      </c>
      <c r="B17" s="7">
        <f t="shared" si="14"/>
        <v>0.114177971</v>
      </c>
      <c r="C17" s="7">
        <f t="shared" si="15"/>
        <v>0.07170376579</v>
      </c>
      <c r="D17" s="7">
        <f t="shared" si="16"/>
        <v>0.02251498246</v>
      </c>
      <c r="E17" s="7">
        <f t="shared" si="17"/>
        <v>0.004713136328</v>
      </c>
      <c r="F17" s="7">
        <f t="shared" si="18"/>
        <v>0.0007399624035</v>
      </c>
      <c r="G17" s="7">
        <f t="shared" si="19"/>
        <v>0.00009293927788</v>
      </c>
      <c r="H17" s="7">
        <f t="shared" si="20"/>
        <v>0.000009727644418</v>
      </c>
    </row>
    <row r="18">
      <c r="A18" s="2">
        <v>3.0</v>
      </c>
      <c r="B18" s="7">
        <f t="shared" si="14"/>
        <v>0.1192221508</v>
      </c>
      <c r="C18" s="7">
        <f t="shared" si="15"/>
        <v>0.07487151073</v>
      </c>
      <c r="D18" s="7">
        <f t="shared" si="16"/>
        <v>0.02350965437</v>
      </c>
      <c r="E18" s="7">
        <f t="shared" si="17"/>
        <v>0.004921354314</v>
      </c>
      <c r="F18" s="7">
        <f t="shared" si="18"/>
        <v>0.0007726526273</v>
      </c>
      <c r="G18" s="7">
        <f t="shared" si="19"/>
        <v>0.00009704516999</v>
      </c>
      <c r="H18" s="7">
        <f t="shared" si="20"/>
        <v>0.00001015739446</v>
      </c>
    </row>
    <row r="19">
      <c r="A19" s="2">
        <v>4.0</v>
      </c>
      <c r="B19" s="7">
        <f t="shared" si="14"/>
        <v>0.09336688017</v>
      </c>
      <c r="C19" s="7">
        <f t="shared" si="15"/>
        <v>0.05863440075</v>
      </c>
      <c r="D19" s="7">
        <f t="shared" si="16"/>
        <v>0.01841120183</v>
      </c>
      <c r="E19" s="7">
        <f t="shared" si="17"/>
        <v>0.003854078251</v>
      </c>
      <c r="F19" s="7">
        <f t="shared" si="18"/>
        <v>0.0006050902854</v>
      </c>
      <c r="G19" s="7">
        <f t="shared" si="19"/>
        <v>0.00007599933984</v>
      </c>
      <c r="H19" s="7">
        <f t="shared" si="20"/>
        <v>0.00000795459757</v>
      </c>
    </row>
    <row r="20">
      <c r="A20" s="2">
        <v>5.0</v>
      </c>
      <c r="B20" s="7">
        <f t="shared" si="14"/>
        <v>0.0584949978</v>
      </c>
      <c r="C20" s="7">
        <f t="shared" si="15"/>
        <v>0.03673485862</v>
      </c>
      <c r="D20" s="7">
        <f t="shared" si="16"/>
        <v>0.01153474561</v>
      </c>
      <c r="E20" s="7">
        <f t="shared" si="17"/>
        <v>0.002414606747</v>
      </c>
      <c r="F20" s="7">
        <f t="shared" si="18"/>
        <v>0.0003790932592</v>
      </c>
      <c r="G20" s="7">
        <f t="shared" si="19"/>
        <v>0.00004761411336</v>
      </c>
      <c r="H20" s="7">
        <f t="shared" si="20"/>
        <v>0.000004983610532</v>
      </c>
    </row>
    <row r="21">
      <c r="A21" s="2">
        <v>6.0</v>
      </c>
      <c r="B21" s="7">
        <f t="shared" si="14"/>
        <v>0.03053960142</v>
      </c>
      <c r="C21" s="7">
        <f t="shared" si="15"/>
        <v>0.01917886969</v>
      </c>
      <c r="D21" s="7">
        <f t="shared" si="16"/>
        <v>0.006022165082</v>
      </c>
      <c r="E21" s="7">
        <f t="shared" si="17"/>
        <v>0.001260639891</v>
      </c>
      <c r="F21" s="7">
        <f t="shared" si="18"/>
        <v>0.0001979204628</v>
      </c>
      <c r="G21" s="7">
        <f t="shared" si="19"/>
        <v>0.00002485881013</v>
      </c>
      <c r="H21" s="7">
        <f t="shared" si="20"/>
        <v>0.000002601888794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0.005351396247</v>
      </c>
      <c r="C25" s="10">
        <f>C15*B12</f>
        <v>0.0001465494635</v>
      </c>
      <c r="D25" s="10">
        <f>C16*B12</f>
        <v>0.0004590712749</v>
      </c>
      <c r="E25" s="10">
        <f>C17*B12</f>
        <v>0.0007190283418</v>
      </c>
      <c r="F25" s="10">
        <f>C18*B12</f>
        <v>0.000750793736</v>
      </c>
      <c r="G25" s="10">
        <f>C19*B12</f>
        <v>0.0005879718516</v>
      </c>
      <c r="H25" s="10">
        <f>$C$10*B12</f>
        <v>0.0000004559240226</v>
      </c>
    </row>
    <row r="26">
      <c r="A26" s="2">
        <v>1.0</v>
      </c>
      <c r="B26" s="10">
        <f t="shared" ref="B26:B31" si="21">B15*$C$2</f>
        <v>0.01241891373</v>
      </c>
      <c r="C26" s="10">
        <f t="shared" ref="C26:C31" si="22">$C$5*B15</f>
        <v>0.00779907782</v>
      </c>
      <c r="D26" s="10">
        <f>$C$6*B15</f>
        <v>0.002448910435</v>
      </c>
      <c r="E26" s="10">
        <f>$C$7*B15</f>
        <v>0.0005126385845</v>
      </c>
      <c r="F26" s="10">
        <f>$C$8*B15</f>
        <v>0.00008048425777</v>
      </c>
      <c r="G26" s="10">
        <f>$C$9*B15</f>
        <v>0.00001010882278</v>
      </c>
      <c r="H26" s="10">
        <f>$C$10*B15</f>
        <v>0.000001058056784</v>
      </c>
    </row>
    <row r="27">
      <c r="A27" s="2">
        <v>2.0</v>
      </c>
      <c r="B27" s="10">
        <f t="shared" si="21"/>
        <v>0.03890267779</v>
      </c>
      <c r="C27" s="10">
        <f t="shared" si="22"/>
        <v>0.02443088165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0.06093199342</v>
      </c>
      <c r="C28" s="10">
        <f t="shared" si="22"/>
        <v>0.03826529187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0.06362386059</v>
      </c>
      <c r="C29" s="10">
        <f t="shared" si="22"/>
        <v>0.03995578445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0.04982598725</v>
      </c>
      <c r="C30" s="10">
        <f t="shared" si="22"/>
        <v>0.03129072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0.03121632649</v>
      </c>
      <c r="C31" s="10">
        <f t="shared" si="22"/>
        <v>0.01960385303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psg</v>
      </c>
      <c r="J33" s="2" t="s">
        <v>17</v>
      </c>
      <c r="K33" s="7" t="str">
        <f>B13</f>
        <v>nantes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0.002855815689</v>
      </c>
      <c r="C36" s="10">
        <f t="shared" ref="C36:C41" si="24">$C$5*B25</f>
        <v>0.001793452252</v>
      </c>
      <c r="D36" s="10">
        <f>$C$6*B25</f>
        <v>0.0005631440073</v>
      </c>
      <c r="E36" s="10">
        <f>$C$7*B25</f>
        <v>0.0001178848122</v>
      </c>
      <c r="F36" s="10">
        <f>$C$8*B25</f>
        <v>0.00001850791551</v>
      </c>
      <c r="G36" s="10">
        <f>$C$9*B25</f>
        <v>0.000002324594188</v>
      </c>
      <c r="H36" s="10">
        <f>$C$10*B25</f>
        <v>0.0000002433075251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0.006627453288</v>
      </c>
      <c r="C37" s="10">
        <f t="shared" si="24"/>
        <v>0.004162040665</v>
      </c>
      <c r="D37" s="7">
        <f t="shared" ref="D37:H37" si="25">D27*D17</f>
        <v>0.003752497077</v>
      </c>
      <c r="E37" s="7">
        <f t="shared" si="25"/>
        <v>0.0004713136328</v>
      </c>
      <c r="F37" s="7">
        <f t="shared" si="25"/>
        <v>0.0000493308269</v>
      </c>
      <c r="G37" s="7">
        <f t="shared" si="25"/>
        <v>0.000004425679899</v>
      </c>
      <c r="H37" s="7">
        <f t="shared" si="25"/>
        <v>0.0000003474158721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0.003752497077</v>
      </c>
      <c r="N37" s="7">
        <f>E27*D18</f>
        <v>0.002350965437</v>
      </c>
      <c r="O37" s="7">
        <f>F27*D19</f>
        <v>0.001227413456</v>
      </c>
      <c r="P37" s="7">
        <f>G27*D20</f>
        <v>0.0005492736003</v>
      </c>
      <c r="Q37" s="7">
        <f>H27*D21</f>
        <v>0.0002150773244</v>
      </c>
    </row>
    <row r="38">
      <c r="A38" s="2">
        <v>3.0</v>
      </c>
      <c r="B38" s="10">
        <f t="shared" si="23"/>
        <v>0.02076072719</v>
      </c>
      <c r="C38" s="10">
        <f t="shared" si="24"/>
        <v>0.01303773667</v>
      </c>
      <c r="D38" s="10"/>
      <c r="E38" s="7">
        <f t="shared" ref="E38:H38" si="28">E28*E18</f>
        <v>0.001476406294</v>
      </c>
      <c r="F38" s="7">
        <f t="shared" si="28"/>
        <v>0.0001545305255</v>
      </c>
      <c r="G38" s="7">
        <f t="shared" si="28"/>
        <v>0.00001386359571</v>
      </c>
      <c r="H38" s="7">
        <f t="shared" si="28"/>
        <v>0.000001088292264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0.001476406294</v>
      </c>
      <c r="O38" s="7">
        <f>F28*E19</f>
        <v>0.0007708156501</v>
      </c>
      <c r="P38" s="7">
        <f>G28*E20</f>
        <v>0.000344943821</v>
      </c>
      <c r="Q38" s="7">
        <f>H28*E21</f>
        <v>0.0001350685597</v>
      </c>
    </row>
    <row r="39">
      <c r="A39" s="2">
        <v>4.0</v>
      </c>
      <c r="B39" s="10">
        <f t="shared" si="23"/>
        <v>0.03251684882</v>
      </c>
      <c r="C39" s="10">
        <f t="shared" si="24"/>
        <v>0.02042058106</v>
      </c>
      <c r="D39" s="10"/>
      <c r="E39" s="10"/>
      <c r="F39" s="7">
        <f t="shared" ref="F39:H39" si="29">F29*F19</f>
        <v>0.0002420361141</v>
      </c>
      <c r="G39" s="7">
        <f t="shared" si="29"/>
        <v>0.0000217140971</v>
      </c>
      <c r="H39" s="7">
        <f t="shared" si="29"/>
        <v>0.000001704556622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0.0002420361141</v>
      </c>
      <c r="P39" s="7">
        <f>G29*F20</f>
        <v>0.0001083123598</v>
      </c>
      <c r="Q39" s="7">
        <f>H29*F21</f>
        <v>0.00004241152775</v>
      </c>
    </row>
    <row r="40">
      <c r="A40" s="2">
        <v>5.0</v>
      </c>
      <c r="B40" s="10">
        <f t="shared" si="23"/>
        <v>0.03395338541</v>
      </c>
      <c r="C40" s="10">
        <f t="shared" si="24"/>
        <v>0.02132272604</v>
      </c>
      <c r="D40" s="10"/>
      <c r="E40" s="10"/>
      <c r="F40" s="10"/>
      <c r="G40" s="7">
        <f t="shared" ref="G40:H40" si="30">G30*G20</f>
        <v>0.00002267338731</v>
      </c>
      <c r="H40" s="7">
        <f t="shared" si="30"/>
        <v>0.000001779860904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0.00002267338731</v>
      </c>
      <c r="Q40" s="7">
        <f>H30*G21</f>
        <v>0.000008878146475</v>
      </c>
    </row>
    <row r="41">
      <c r="A41" s="2">
        <v>6.0</v>
      </c>
      <c r="B41" s="10">
        <f t="shared" si="23"/>
        <v>0.02659003922</v>
      </c>
      <c r="C41" s="10">
        <f t="shared" si="24"/>
        <v>0.01669854463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52</v>
      </c>
      <c r="C1" s="1" t="s">
        <v>53</v>
      </c>
      <c r="D1" s="2" t="s">
        <v>2</v>
      </c>
      <c r="G1" s="2" t="str">
        <f t="shared" ref="G1:H1" si="1">B1</f>
        <v>elche</v>
      </c>
      <c r="H1" s="2" t="str">
        <f t="shared" si="1"/>
        <v>atletico</v>
      </c>
      <c r="J1" s="3" t="str">
        <f>G1</f>
        <v>elche</v>
      </c>
      <c r="K1" s="3" t="s">
        <v>3</v>
      </c>
      <c r="L1" s="3" t="s">
        <v>4</v>
      </c>
      <c r="M1" s="3" t="s">
        <v>5</v>
      </c>
      <c r="N1" s="3" t="str">
        <f>H1</f>
        <v>atletico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0.21898175881801446</v>
      </c>
      <c r="C2" s="1">
        <v>0.2628951488158114</v>
      </c>
      <c r="D2" s="2" t="s">
        <v>7</v>
      </c>
      <c r="E2" s="1">
        <v>2.5</v>
      </c>
      <c r="F2" s="2" t="s">
        <v>8</v>
      </c>
      <c r="G2" s="1">
        <v>2.47</v>
      </c>
      <c r="H2" s="1">
        <v>3.08</v>
      </c>
      <c r="J2" s="3"/>
      <c r="K2" s="4"/>
      <c r="L2" s="5">
        <v>2.0</v>
      </c>
      <c r="M2" s="6">
        <f t="shared" ref="M2:M11" si="3">IFERROR(-ln(1-(1/L2)),0)</f>
        <v>0.6931471806</v>
      </c>
      <c r="N2" s="3"/>
      <c r="O2" s="4"/>
      <c r="P2" s="5">
        <v>3.25</v>
      </c>
      <c r="Q2" s="6">
        <f t="shared" ref="Q2:Q11" si="4">IFERROR(-ln(1-(1/P2)),0)</f>
        <v>0.3677247801</v>
      </c>
    </row>
    <row r="3">
      <c r="A3" s="2" t="s">
        <v>5</v>
      </c>
      <c r="B3" s="7">
        <f t="shared" ref="B3:C3" si="2">-ln(B2)</f>
        <v>1.518766846</v>
      </c>
      <c r="C3" s="7">
        <f t="shared" si="2"/>
        <v>1.336</v>
      </c>
      <c r="D3" s="2" t="s">
        <v>9</v>
      </c>
      <c r="E3" s="1">
        <v>1.84</v>
      </c>
      <c r="F3" s="2" t="s">
        <v>10</v>
      </c>
      <c r="G3" s="8">
        <f>1/(1/G2+SUM(D37:H40))</f>
        <v>2.357960213</v>
      </c>
      <c r="H3" s="8">
        <f>1/(1/H2+SUM(M37:Q40))</f>
        <v>2.900896512</v>
      </c>
      <c r="J3" s="3"/>
      <c r="K3" s="4"/>
      <c r="L3" s="5">
        <v>3.0</v>
      </c>
      <c r="M3" s="6">
        <f t="shared" si="3"/>
        <v>0.4054651081</v>
      </c>
      <c r="N3" s="3"/>
      <c r="O3" s="4"/>
      <c r="P3" s="5">
        <v>2.4</v>
      </c>
      <c r="Q3" s="6">
        <f t="shared" si="4"/>
        <v>0.5389965007</v>
      </c>
    </row>
    <row r="4">
      <c r="A4" s="2" t="s">
        <v>11</v>
      </c>
      <c r="J4" s="3"/>
      <c r="K4" s="4"/>
      <c r="L4" s="5">
        <v>2.5</v>
      </c>
      <c r="M4" s="6">
        <f t="shared" si="3"/>
        <v>0.5108256238</v>
      </c>
      <c r="N4" s="3"/>
      <c r="O4" s="4"/>
      <c r="P4" s="5">
        <v>2.75</v>
      </c>
      <c r="Q4" s="6">
        <f t="shared" si="4"/>
        <v>0.4519851237</v>
      </c>
    </row>
    <row r="5">
      <c r="A5" s="2">
        <v>1.0</v>
      </c>
      <c r="B5" s="7">
        <f t="shared" ref="B5:C5" si="5">((B$3^$A5)/FACT($A5))*EXP(-B$3)</f>
        <v>0.3325822351</v>
      </c>
      <c r="C5" s="7">
        <f t="shared" si="5"/>
        <v>0.3512279188</v>
      </c>
      <c r="D5" s="2">
        <v>1.5</v>
      </c>
      <c r="E5" s="7">
        <f>1/(B2*(C2+C5)+B5*C2)</f>
        <v>4.506209442</v>
      </c>
      <c r="J5" s="3"/>
      <c r="K5" s="4"/>
      <c r="L5" s="5">
        <v>8.0</v>
      </c>
      <c r="M5" s="6">
        <f t="shared" si="3"/>
        <v>0.1335313926</v>
      </c>
      <c r="N5" s="3"/>
      <c r="O5" s="4"/>
      <c r="P5" s="5">
        <v>3.75</v>
      </c>
      <c r="Q5" s="6">
        <f t="shared" si="4"/>
        <v>0.3101549283</v>
      </c>
    </row>
    <row r="6">
      <c r="A6" s="2">
        <v>2.0</v>
      </c>
      <c r="B6" s="7">
        <f t="shared" ref="B6:C6" si="6">((B$3^$A6)/FACT($A6))*EXP(-B$3)</f>
        <v>0.2525574361</v>
      </c>
      <c r="C6" s="7">
        <f t="shared" si="6"/>
        <v>0.2346202498</v>
      </c>
      <c r="D6" s="2">
        <v>2.5</v>
      </c>
      <c r="E6" s="7">
        <f>1/(B2*(C2+C5+C6)+B5*(C2+C5)+B6*C2)</f>
        <v>2.190571619</v>
      </c>
      <c r="F6" s="2" t="s">
        <v>12</v>
      </c>
      <c r="J6" s="3"/>
      <c r="K6" s="4"/>
      <c r="L6" s="5">
        <v>5.5</v>
      </c>
      <c r="M6" s="6">
        <f t="shared" si="3"/>
        <v>0.2006706955</v>
      </c>
      <c r="N6" s="3"/>
      <c r="O6" s="4"/>
      <c r="P6" s="5">
        <v>11.0</v>
      </c>
      <c r="Q6" s="6">
        <f t="shared" si="4"/>
        <v>0.0953101798</v>
      </c>
    </row>
    <row r="7">
      <c r="A7" s="2">
        <v>3.0</v>
      </c>
      <c r="B7" s="7">
        <f t="shared" ref="B7:C7" si="7">((B$3^$A7)/FACT($A7))*EXP(-B$3)</f>
        <v>0.1278586202</v>
      </c>
      <c r="C7" s="7">
        <f t="shared" si="7"/>
        <v>0.1044842179</v>
      </c>
      <c r="D7" s="2">
        <v>3.5</v>
      </c>
      <c r="E7" s="7">
        <f>1/(B2*(C2+C5+C6+C7)+B5*(C2+C5+C6)+B6*(C2+C5)+B7*C2)</f>
        <v>1.471169888</v>
      </c>
      <c r="F7" s="7" t="str">
        <f>B1</f>
        <v>elche</v>
      </c>
      <c r="G7" s="2" t="s">
        <v>13</v>
      </c>
      <c r="H7" s="7" t="str">
        <f>C1</f>
        <v>atletico</v>
      </c>
      <c r="J7" s="3"/>
      <c r="K7" s="4"/>
      <c r="L7" s="5">
        <v>5.0</v>
      </c>
      <c r="M7" s="6">
        <f t="shared" si="3"/>
        <v>0.2231435513</v>
      </c>
      <c r="N7" s="3"/>
      <c r="O7" s="4"/>
      <c r="P7" s="5">
        <v>12.0</v>
      </c>
      <c r="Q7" s="6">
        <f t="shared" si="4"/>
        <v>0.08701137699</v>
      </c>
    </row>
    <row r="8">
      <c r="A8" s="2">
        <v>4.0</v>
      </c>
      <c r="B8" s="7">
        <f t="shared" ref="B8:C8" si="8">((B$3^$A8)/FACT($A8))*EXP(-B$3)</f>
        <v>0.04854685832</v>
      </c>
      <c r="C8" s="7">
        <f t="shared" si="8"/>
        <v>0.03489772878</v>
      </c>
      <c r="D8" s="2">
        <v>4.5</v>
      </c>
      <c r="E8" s="7">
        <f>1/(B2*(C2+C5+C6+C7+C8)+B5*(C2+C5+C6+C7)+B6*(C2+C5+C6)+B7*(C2+C5)+B8*C2)</f>
        <v>1.191826856</v>
      </c>
      <c r="F8" s="7">
        <f>B5*C2+B6*(C5+C2)+B7*(C6+C5+C2)+B8*(C7+C6+C5+C2)+B9*(C8+C7+C6+C5+C2)+B10*(C9+C8+C7+C6+C5+C2)+B11*(C10+C9+C8+C7+C6+C5+C2)+B12*(C11+C10+C9+C8+C7+C6+C5+C2)</f>
        <v>0.4165885162</v>
      </c>
      <c r="G8" s="7">
        <f>B2*C2+B5*C5+B6*C6+B7*C7+B8*C8+B9*C9+B10*C10+B11*C11+B12*C12</f>
        <v>0.2488354655</v>
      </c>
      <c r="H8" s="7">
        <f>C5*B2+C6*(B5+B2)+C7*(B6+B5+B2)+C8*(B7+B6+B5+B2)+C9*(B8+B7+B6+B5+B2)+C10*(B9+B8+B7+B6+B5+B2)+C11*(B10+B9+B7+B8+B6+B5+B2)</f>
        <v>0.3344680293</v>
      </c>
      <c r="J8" s="3"/>
      <c r="K8" s="4"/>
      <c r="L8" s="5">
        <v>10.0</v>
      </c>
      <c r="M8" s="6">
        <f t="shared" si="3"/>
        <v>0.1053605157</v>
      </c>
      <c r="N8" s="3"/>
      <c r="O8" s="4"/>
      <c r="P8" s="5">
        <v>10.5</v>
      </c>
      <c r="Q8" s="6">
        <f t="shared" si="4"/>
        <v>0.1000834586</v>
      </c>
    </row>
    <row r="9">
      <c r="A9" s="2">
        <v>5.0</v>
      </c>
      <c r="B9" s="7">
        <f t="shared" ref="B9:C9" si="9">((B$3^$A9)/FACT($A9))*EXP(-B$3)</f>
        <v>0.01474627178</v>
      </c>
      <c r="C9" s="7">
        <f t="shared" si="9"/>
        <v>0.009324673129</v>
      </c>
      <c r="F9" s="9">
        <f t="shared" ref="F9:H9" si="10">1/F8</f>
        <v>2.400450231</v>
      </c>
      <c r="G9" s="9">
        <f t="shared" si="10"/>
        <v>4.018719751</v>
      </c>
      <c r="H9" s="9">
        <f t="shared" si="10"/>
        <v>2.989822382</v>
      </c>
      <c r="J9" s="3"/>
      <c r="K9" s="4"/>
      <c r="L9" s="5">
        <v>8.0</v>
      </c>
      <c r="M9" s="6">
        <f t="shared" si="3"/>
        <v>0.1335313926</v>
      </c>
      <c r="N9" s="3"/>
      <c r="O9" s="4"/>
      <c r="P9" s="5">
        <v>15.0</v>
      </c>
      <c r="Q9" s="6">
        <f t="shared" si="4"/>
        <v>0.06899287149</v>
      </c>
    </row>
    <row r="10">
      <c r="A10" s="2">
        <v>6.0</v>
      </c>
      <c r="B10" s="7">
        <f t="shared" ref="B10:C10" si="11">((B$3^$A10)/FACT($A10))*EXP(-B$3)</f>
        <v>0.003732691445</v>
      </c>
      <c r="C10" s="7">
        <f t="shared" si="11"/>
        <v>0.002076293883</v>
      </c>
      <c r="J10" s="3"/>
      <c r="K10" s="4"/>
      <c r="L10" s="5">
        <v>10.0</v>
      </c>
      <c r="M10" s="6">
        <f t="shared" si="3"/>
        <v>0.1053605157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0.000809869716</v>
      </c>
      <c r="C11" s="7">
        <f t="shared" si="12"/>
        <v>0.0003962755183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12.5</v>
      </c>
      <c r="Q11" s="6">
        <f t="shared" si="4"/>
        <v>0.08338160894</v>
      </c>
    </row>
    <row r="12">
      <c r="A12" s="2">
        <v>8.0</v>
      </c>
      <c r="B12" s="7">
        <f t="shared" ref="B12:C12" si="13">((B$3^$A12)/FACT($A12))*EXP(-B$3)</f>
        <v>0.0001537504092</v>
      </c>
      <c r="C12" s="7">
        <f t="shared" si="13"/>
        <v>0.00006617801156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atletico</v>
      </c>
      <c r="J13" s="3"/>
      <c r="K13" s="3"/>
      <c r="L13" s="3" t="s">
        <v>14</v>
      </c>
      <c r="M13" s="6">
        <f>SUM(M2:M11)</f>
        <v>2.580028847</v>
      </c>
      <c r="N13" s="3"/>
      <c r="O13" s="3"/>
      <c r="P13" s="3" t="s">
        <v>14</v>
      </c>
      <c r="Q13" s="6">
        <f>SUM(Q2:Q11)</f>
        <v>2.1726337</v>
      </c>
    </row>
    <row r="14">
      <c r="A14" s="7" t="str">
        <f>B1</f>
        <v>elche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2.272144067</v>
      </c>
      <c r="N14" s="3"/>
      <c r="O14" s="3"/>
      <c r="P14" s="3" t="s">
        <v>15</v>
      </c>
      <c r="Q14" s="6">
        <f>SUM(Q2:Q8)</f>
        <v>1.951266348</v>
      </c>
    </row>
    <row r="15">
      <c r="A15" s="2">
        <v>0.0</v>
      </c>
      <c r="B15" s="7">
        <f>B2*$C$2</f>
        <v>0.05756924207</v>
      </c>
      <c r="C15" s="7">
        <f>C5*B2</f>
        <v>0.07691250741</v>
      </c>
      <c r="D15" s="7">
        <f>C6*B2</f>
        <v>0.05137755495</v>
      </c>
      <c r="E15" s="7">
        <f>C7*B2</f>
        <v>0.0228801378</v>
      </c>
      <c r="F15" s="7">
        <f>C8*B2</f>
        <v>0.007641966027</v>
      </c>
      <c r="G15" s="7">
        <f>C9*B2</f>
        <v>0.002041933322</v>
      </c>
      <c r="H15" s="7">
        <f>$C$10*B2</f>
        <v>0.0004546704864</v>
      </c>
    </row>
    <row r="16">
      <c r="A16" s="2">
        <v>1.0</v>
      </c>
      <c r="B16" s="7">
        <f t="shared" ref="B16:B21" si="14">B5*$C$2</f>
        <v>0.08743425619</v>
      </c>
      <c r="C16" s="7">
        <f t="shared" ref="C16:C21" si="15">$C$5*B5</f>
        <v>0.1168121663</v>
      </c>
      <c r="D16" s="7">
        <f t="shared" ref="D16:D21" si="16">$C$6*B5</f>
        <v>0.07803052707</v>
      </c>
      <c r="E16" s="7">
        <f t="shared" ref="E16:E21" si="17">$C$7*B5</f>
        <v>0.03474959472</v>
      </c>
      <c r="F16" s="7">
        <f t="shared" ref="F16:F21" si="18">$C$8*B5</f>
        <v>0.01160636464</v>
      </c>
      <c r="G16" s="7">
        <f t="shared" ref="G16:G21" si="19">$C$9*B5</f>
        <v>0.003101220631</v>
      </c>
      <c r="H16" s="7">
        <f t="shared" ref="H16:H21" si="20">$C$10*B5</f>
        <v>0.0006905384605</v>
      </c>
    </row>
    <row r="17">
      <c r="A17" s="2">
        <v>2.0</v>
      </c>
      <c r="B17" s="7">
        <f t="shared" si="14"/>
        <v>0.06639612474</v>
      </c>
      <c r="C17" s="7">
        <f t="shared" si="15"/>
        <v>0.08870522265</v>
      </c>
      <c r="D17" s="7">
        <f t="shared" si="16"/>
        <v>0.05925508873</v>
      </c>
      <c r="E17" s="7">
        <f t="shared" si="17"/>
        <v>0.02638826618</v>
      </c>
      <c r="F17" s="7">
        <f t="shared" si="18"/>
        <v>0.008813680905</v>
      </c>
      <c r="G17" s="7">
        <f t="shared" si="19"/>
        <v>0.002355015538</v>
      </c>
      <c r="H17" s="7">
        <f t="shared" si="20"/>
        <v>0.0005243834598</v>
      </c>
    </row>
    <row r="18">
      <c r="A18" s="2">
        <v>3.0</v>
      </c>
      <c r="B18" s="7">
        <f t="shared" si="14"/>
        <v>0.03361341098</v>
      </c>
      <c r="C18" s="7">
        <f t="shared" si="15"/>
        <v>0.04490751707</v>
      </c>
      <c r="D18" s="7">
        <f t="shared" si="16"/>
        <v>0.0299982214</v>
      </c>
      <c r="E18" s="7">
        <f t="shared" si="17"/>
        <v>0.01335920793</v>
      </c>
      <c r="F18" s="7">
        <f t="shared" si="18"/>
        <v>0.004461975449</v>
      </c>
      <c r="G18" s="7">
        <f t="shared" si="19"/>
        <v>0.00119223984</v>
      </c>
      <c r="H18" s="7">
        <f t="shared" si="20"/>
        <v>0.000265472071</v>
      </c>
    </row>
    <row r="19">
      <c r="A19" s="2">
        <v>4.0</v>
      </c>
      <c r="B19" s="7">
        <f t="shared" si="14"/>
        <v>0.01276273354</v>
      </c>
      <c r="C19" s="7">
        <f t="shared" si="15"/>
        <v>0.01705101201</v>
      </c>
      <c r="D19" s="7">
        <f t="shared" si="16"/>
        <v>0.01139007602</v>
      </c>
      <c r="E19" s="7">
        <f t="shared" si="17"/>
        <v>0.005072380523</v>
      </c>
      <c r="F19" s="7">
        <f t="shared" si="18"/>
        <v>0.001694175095</v>
      </c>
      <c r="G19" s="7">
        <f t="shared" si="19"/>
        <v>0.0004526835853</v>
      </c>
      <c r="H19" s="7">
        <f t="shared" si="20"/>
        <v>0.000100797545</v>
      </c>
    </row>
    <row r="20">
      <c r="A20" s="2">
        <v>5.0</v>
      </c>
      <c r="B20" s="7">
        <f t="shared" si="14"/>
        <v>0.003876723313</v>
      </c>
      <c r="C20" s="7">
        <f t="shared" si="15"/>
        <v>0.005179302346</v>
      </c>
      <c r="D20" s="7">
        <f t="shared" si="16"/>
        <v>0.003459773967</v>
      </c>
      <c r="E20" s="7">
        <f t="shared" si="17"/>
        <v>0.001540752673</v>
      </c>
      <c r="F20" s="7">
        <f t="shared" si="18"/>
        <v>0.0005146113929</v>
      </c>
      <c r="G20" s="7">
        <f t="shared" si="19"/>
        <v>0.0001375041642</v>
      </c>
      <c r="H20" s="7">
        <f t="shared" si="20"/>
        <v>0.00003061759389</v>
      </c>
    </row>
    <row r="21">
      <c r="A21" s="2">
        <v>6.0</v>
      </c>
      <c r="B21" s="7">
        <f t="shared" si="14"/>
        <v>0.0009813064729</v>
      </c>
      <c r="C21" s="7">
        <f t="shared" si="15"/>
        <v>0.001311025448</v>
      </c>
      <c r="D21" s="7">
        <f t="shared" si="16"/>
        <v>0.0008757649991</v>
      </c>
      <c r="E21" s="7">
        <f t="shared" si="17"/>
        <v>0.0003900073463</v>
      </c>
      <c r="F21" s="7">
        <f t="shared" si="18"/>
        <v>0.0001302624537</v>
      </c>
      <c r="G21" s="7">
        <f t="shared" si="19"/>
        <v>0.00003480612762</v>
      </c>
      <c r="H21" s="7">
        <f t="shared" si="20"/>
        <v>0.000007750164416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0.00004042023672</v>
      </c>
      <c r="C25" s="10">
        <f>C15*B12</f>
        <v>0.00001182532949</v>
      </c>
      <c r="D25" s="10">
        <f>C16*B12</f>
        <v>0.00001795991837</v>
      </c>
      <c r="E25" s="10">
        <f>C17*B12</f>
        <v>0.00001363846429</v>
      </c>
      <c r="F25" s="10">
        <f>C18*B12</f>
        <v>0.000006904549128</v>
      </c>
      <c r="G25" s="10">
        <f>C19*B12</f>
        <v>0.000002621600075</v>
      </c>
      <c r="H25" s="10">
        <f>$C$10*B12</f>
        <v>0.0000003192310343</v>
      </c>
    </row>
    <row r="26">
      <c r="A26" s="2">
        <v>1.0</v>
      </c>
      <c r="B26" s="10">
        <f t="shared" ref="B26:B31" si="21">B15*$C$2</f>
        <v>0.01513467446</v>
      </c>
      <c r="C26" s="10">
        <f t="shared" ref="C26:C31" si="22">$C$5*B15</f>
        <v>0.02021992508</v>
      </c>
      <c r="D26" s="10">
        <f>$C$6*B15</f>
        <v>0.01350690995</v>
      </c>
      <c r="E26" s="10">
        <f>$C$7*B15</f>
        <v>0.006015077233</v>
      </c>
      <c r="F26" s="10">
        <f>$C$8*B15</f>
        <v>0.002009035796</v>
      </c>
      <c r="G26" s="10">
        <f>$C$9*B15</f>
        <v>0.0005368143646</v>
      </c>
      <c r="H26" s="10">
        <f>$C$10*B15</f>
        <v>0.0001195306652</v>
      </c>
    </row>
    <row r="27">
      <c r="A27" s="2">
        <v>2.0</v>
      </c>
      <c r="B27" s="10">
        <f t="shared" si="21"/>
        <v>0.02298604179</v>
      </c>
      <c r="C27" s="10">
        <f t="shared" si="22"/>
        <v>0.03070935184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0.01745521909</v>
      </c>
      <c r="C28" s="10">
        <f t="shared" si="22"/>
        <v>0.02332017271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0.008836802682</v>
      </c>
      <c r="C29" s="10">
        <f t="shared" si="22"/>
        <v>0.01180596838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0.003355260734</v>
      </c>
      <c r="C30" s="10">
        <f t="shared" si="22"/>
        <v>0.00448262834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0.001019171752</v>
      </c>
      <c r="C31" s="10">
        <f t="shared" si="22"/>
        <v>0.001361613461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elche</v>
      </c>
      <c r="J33" s="2" t="s">
        <v>17</v>
      </c>
      <c r="K33" s="7" t="str">
        <f>B13</f>
        <v>atletico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0.00001062628415</v>
      </c>
      <c r="C36" s="10">
        <f t="shared" ref="C36:C41" si="24">$C$5*B25</f>
        <v>0.00001419671562</v>
      </c>
      <c r="D36" s="10">
        <f>$C$6*B25</f>
        <v>0.000009483406035</v>
      </c>
      <c r="E36" s="10">
        <f>$C$7*B25</f>
        <v>0.000004223276821</v>
      </c>
      <c r="F36" s="10">
        <f>$C$8*B25</f>
        <v>0.000001410574458</v>
      </c>
      <c r="G36" s="10">
        <f>$C$9*B25</f>
        <v>0.0000003769054952</v>
      </c>
      <c r="H36" s="10">
        <f>$C$10*B25</f>
        <v>0.00000008392429027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0.003978832495</v>
      </c>
      <c r="C37" s="10">
        <f t="shared" si="24"/>
        <v>0.005315720213</v>
      </c>
      <c r="D37" s="7">
        <f t="shared" ref="D37:H37" si="25">D27*D17</f>
        <v>0.009875848122</v>
      </c>
      <c r="E37" s="7">
        <f t="shared" si="25"/>
        <v>0.002638826618</v>
      </c>
      <c r="F37" s="7">
        <f t="shared" si="25"/>
        <v>0.000587578727</v>
      </c>
      <c r="G37" s="7">
        <f t="shared" si="25"/>
        <v>0.000112143597</v>
      </c>
      <c r="H37" s="7">
        <f t="shared" si="25"/>
        <v>0.00001872798071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0.009875848122</v>
      </c>
      <c r="N37" s="7">
        <f>E27*D18</f>
        <v>0.00299982214</v>
      </c>
      <c r="O37" s="7">
        <f>F27*D19</f>
        <v>0.0007593384016</v>
      </c>
      <c r="P37" s="7">
        <f>G27*D20</f>
        <v>0.0001647511413</v>
      </c>
      <c r="Q37" s="7">
        <f>H27*D21</f>
        <v>0.0000312773214</v>
      </c>
    </row>
    <row r="38">
      <c r="A38" s="2">
        <v>3.0</v>
      </c>
      <c r="B38" s="10">
        <f t="shared" si="23"/>
        <v>0.006042918878</v>
      </c>
      <c r="C38" s="10">
        <f t="shared" si="24"/>
        <v>0.008073339621</v>
      </c>
      <c r="D38" s="10"/>
      <c r="E38" s="7">
        <f t="shared" ref="E38:H38" si="28">E28*E18</f>
        <v>0.004007762379</v>
      </c>
      <c r="F38" s="7">
        <f t="shared" si="28"/>
        <v>0.0008923950898</v>
      </c>
      <c r="G38" s="7">
        <f t="shared" si="28"/>
        <v>0.0001703199771</v>
      </c>
      <c r="H38" s="7">
        <f t="shared" si="28"/>
        <v>0.00002844343618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0.004007762379</v>
      </c>
      <c r="O38" s="7">
        <f>F28*E19</f>
        <v>0.001014476105</v>
      </c>
      <c r="P38" s="7">
        <f>G28*E20</f>
        <v>0.0002201075248</v>
      </c>
      <c r="Q38" s="7">
        <f>H28*E21</f>
        <v>0.00004178650139</v>
      </c>
    </row>
    <row r="39">
      <c r="A39" s="2">
        <v>4.0</v>
      </c>
      <c r="B39" s="10">
        <f t="shared" si="23"/>
        <v>0.004588892422</v>
      </c>
      <c r="C39" s="10">
        <f t="shared" si="24"/>
        <v>0.006130760275</v>
      </c>
      <c r="D39" s="10"/>
      <c r="E39" s="10"/>
      <c r="F39" s="7">
        <f t="shared" ref="F39:H39" si="29">F29*F19</f>
        <v>0.0006776700378</v>
      </c>
      <c r="G39" s="7">
        <f t="shared" si="29"/>
        <v>0.0001293381672</v>
      </c>
      <c r="H39" s="7">
        <f t="shared" si="29"/>
        <v>0.00002159947393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0.0006776700378</v>
      </c>
      <c r="P39" s="7">
        <f>G29*F20</f>
        <v>0.0001470318265</v>
      </c>
      <c r="Q39" s="7">
        <f>H29*F21</f>
        <v>0.00002791338293</v>
      </c>
    </row>
    <row r="40">
      <c r="A40" s="2">
        <v>5.0</v>
      </c>
      <c r="B40" s="10">
        <f t="shared" si="23"/>
        <v>0.002323152556</v>
      </c>
      <c r="C40" s="10">
        <f t="shared" si="24"/>
        <v>0.003103731815</v>
      </c>
      <c r="D40" s="10"/>
      <c r="E40" s="10"/>
      <c r="F40" s="10"/>
      <c r="G40" s="7">
        <f t="shared" ref="G40:H40" si="30">G30*G20</f>
        <v>0.00006547817342</v>
      </c>
      <c r="H40" s="7">
        <f t="shared" si="30"/>
        <v>0.00001093485496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0.00006547817342</v>
      </c>
      <c r="Q40" s="7">
        <f>H30*G21</f>
        <v>0.00001243075986</v>
      </c>
    </row>
    <row r="41">
      <c r="A41" s="2">
        <v>6.0</v>
      </c>
      <c r="B41" s="10">
        <f t="shared" si="23"/>
        <v>0.0008820817699</v>
      </c>
      <c r="C41" s="10">
        <f t="shared" si="24"/>
        <v>0.001178461245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54</v>
      </c>
      <c r="C1" s="1" t="s">
        <v>55</v>
      </c>
      <c r="D1" s="2" t="s">
        <v>2</v>
      </c>
      <c r="G1" s="2" t="str">
        <f t="shared" ref="G1:H1" si="1">B1</f>
        <v>leeds</v>
      </c>
      <c r="H1" s="2" t="str">
        <f t="shared" si="1"/>
        <v>wolves</v>
      </c>
      <c r="J1" s="3" t="str">
        <f>G1</f>
        <v>leeds</v>
      </c>
      <c r="K1" s="3" t="s">
        <v>3</v>
      </c>
      <c r="L1" s="3" t="s">
        <v>4</v>
      </c>
      <c r="M1" s="3" t="s">
        <v>5</v>
      </c>
      <c r="N1" s="3" t="str">
        <f>H1</f>
        <v>wolves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0.13028998279990334</v>
      </c>
      <c r="C2" s="1">
        <v>0.45293801277655743</v>
      </c>
      <c r="D2" s="2" t="s">
        <v>7</v>
      </c>
      <c r="E2" s="1">
        <v>2.5</v>
      </c>
      <c r="F2" s="2" t="s">
        <v>8</v>
      </c>
      <c r="G2" s="1">
        <v>1.547</v>
      </c>
      <c r="H2" s="1">
        <v>7.56</v>
      </c>
      <c r="J2" s="3"/>
      <c r="K2" s="4"/>
      <c r="L2" s="5">
        <v>2.85</v>
      </c>
      <c r="M2" s="6">
        <f t="shared" ref="M2:M11" si="3">IFERROR(-ln(1-(1/L2)),0)</f>
        <v>0.4321333552</v>
      </c>
      <c r="N2" s="3"/>
      <c r="O2" s="4"/>
      <c r="P2" s="5">
        <v>3.5</v>
      </c>
      <c r="Q2" s="6">
        <f t="shared" ref="Q2:Q11" si="4">IFERROR(-ln(1-(1/P2)),0)</f>
        <v>0.3364722366</v>
      </c>
    </row>
    <row r="3">
      <c r="A3" s="2" t="s">
        <v>5</v>
      </c>
      <c r="B3" s="7">
        <f t="shared" ref="B3:C3" si="2">-ln(B2)</f>
        <v>2.037992676</v>
      </c>
      <c r="C3" s="7">
        <f t="shared" si="2"/>
        <v>0.792</v>
      </c>
      <c r="D3" s="2" t="s">
        <v>9</v>
      </c>
      <c r="E3" s="1">
        <v>1.86</v>
      </c>
      <c r="F3" s="2" t="s">
        <v>10</v>
      </c>
      <c r="G3" s="8">
        <f>1/(1/G2+SUM(D37:H40))</f>
        <v>1.522776895</v>
      </c>
      <c r="H3" s="8">
        <f>1/(1/H2+SUM(M37:Q40))</f>
        <v>6.852276192</v>
      </c>
      <c r="J3" s="3"/>
      <c r="K3" s="4"/>
      <c r="L3" s="5">
        <v>4.0</v>
      </c>
      <c r="M3" s="6">
        <f t="shared" si="3"/>
        <v>0.2876820725</v>
      </c>
      <c r="N3" s="3"/>
      <c r="O3" s="4"/>
      <c r="P3" s="5">
        <v>4.0</v>
      </c>
      <c r="Q3" s="6">
        <f t="shared" si="4"/>
        <v>0.2876820725</v>
      </c>
    </row>
    <row r="4">
      <c r="A4" s="2" t="s">
        <v>11</v>
      </c>
      <c r="J4" s="3"/>
      <c r="K4" s="4"/>
      <c r="L4" s="5">
        <v>5.5</v>
      </c>
      <c r="M4" s="6">
        <f t="shared" si="3"/>
        <v>0.2006706955</v>
      </c>
      <c r="N4" s="3"/>
      <c r="O4" s="4"/>
      <c r="P4" s="5">
        <v>5.0</v>
      </c>
      <c r="Q4" s="6">
        <f t="shared" si="4"/>
        <v>0.2231435513</v>
      </c>
    </row>
    <row r="5">
      <c r="A5" s="2">
        <v>1.0</v>
      </c>
      <c r="B5" s="7">
        <f t="shared" ref="B5:C5" si="5">((B$3^$A5)/FACT($A5))*EXP(-B$3)</f>
        <v>0.2655300307</v>
      </c>
      <c r="C5" s="7">
        <f t="shared" si="5"/>
        <v>0.3587269061</v>
      </c>
      <c r="D5" s="2">
        <v>1.5</v>
      </c>
      <c r="E5" s="7">
        <f>1/(B2*(C2+C5)+B5*C2)</f>
        <v>4.42437836</v>
      </c>
      <c r="J5" s="3"/>
      <c r="K5" s="4"/>
      <c r="L5" s="5">
        <v>8.0</v>
      </c>
      <c r="M5" s="6">
        <f t="shared" si="3"/>
        <v>0.1335313926</v>
      </c>
      <c r="N5" s="3"/>
      <c r="O5" s="4"/>
      <c r="P5" s="5">
        <v>10.0</v>
      </c>
      <c r="Q5" s="6">
        <f t="shared" si="4"/>
        <v>0.1053605157</v>
      </c>
    </row>
    <row r="6">
      <c r="A6" s="2">
        <v>2.0</v>
      </c>
      <c r="B6" s="7">
        <f t="shared" ref="B6:C6" si="6">((B$3^$A6)/FACT($A6))*EXP(-B$3)</f>
        <v>0.2705741289</v>
      </c>
      <c r="C6" s="7">
        <f t="shared" si="6"/>
        <v>0.1420558548</v>
      </c>
      <c r="D6" s="2">
        <v>2.5</v>
      </c>
      <c r="E6" s="7">
        <f>1/(B2*(C2+C5+C6)+B5*(C2+C5)+B6*C2)</f>
        <v>2.162933886</v>
      </c>
      <c r="F6" s="2" t="s">
        <v>12</v>
      </c>
      <c r="J6" s="3"/>
      <c r="K6" s="4"/>
      <c r="L6" s="5">
        <v>10.0</v>
      </c>
      <c r="M6" s="6">
        <f t="shared" si="3"/>
        <v>0.1053605157</v>
      </c>
      <c r="N6" s="3"/>
      <c r="O6" s="4"/>
      <c r="P6" s="5">
        <v>10.0</v>
      </c>
      <c r="Q6" s="6">
        <f t="shared" si="4"/>
        <v>0.1053605157</v>
      </c>
    </row>
    <row r="7">
      <c r="A7" s="2">
        <v>3.0</v>
      </c>
      <c r="B7" s="7">
        <f t="shared" ref="B7:C7" si="7">((B$3^$A7)/FACT($A7))*EXP(-B$3)</f>
        <v>0.1838093643</v>
      </c>
      <c r="C7" s="7">
        <f t="shared" si="7"/>
        <v>0.03750274567</v>
      </c>
      <c r="D7" s="2">
        <v>3.5</v>
      </c>
      <c r="E7" s="7">
        <f>1/(B2*(C2+C5+C6+C7)+B5*(C2+C5+C6)+B6*(C2+C5)+B7*C2)</f>
        <v>1.459304851</v>
      </c>
      <c r="F7" s="7" t="str">
        <f>B1</f>
        <v>leeds</v>
      </c>
      <c r="G7" s="2" t="s">
        <v>13</v>
      </c>
      <c r="H7" s="7" t="str">
        <f>C1</f>
        <v>wolves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12.0</v>
      </c>
      <c r="Q7" s="6">
        <f t="shared" si="4"/>
        <v>0.08701137699</v>
      </c>
    </row>
    <row r="8">
      <c r="A8" s="2">
        <v>4.0</v>
      </c>
      <c r="B8" s="7">
        <f t="shared" ref="B8:C8" si="8">((B$3^$A8)/FACT($A8))*EXP(-B$3)</f>
        <v>0.09365053454</v>
      </c>
      <c r="C8" s="7">
        <f t="shared" si="8"/>
        <v>0.007425543643</v>
      </c>
      <c r="D8" s="2">
        <v>4.5</v>
      </c>
      <c r="E8" s="7">
        <f>1/(B2*(C2+C5+C6+C7+C8)+B5*(C2+C5+C6+C7)+B6*(C2+C5+C6)+B7*(C2+C5)+B8*C2)</f>
        <v>1.186274451</v>
      </c>
      <c r="F8" s="7">
        <f>B5*C2+B6*(C5+C2)+B7*(C6+C5+C2)+B8*(C7+C6+C5+C2)+B9*(C8+C7+C6+C5+C2)+B10*(C9+C8+C7+C6+C5+C2)+B11*(C10+C9+C8+C7+C6+C5+C2)+B12*(C11+C10+C9+C8+C7+C6+C5+C2)</f>
        <v>0.663835635</v>
      </c>
      <c r="G8" s="7">
        <f>B2*C2+B5*C5+B6*C6+B7*C7+B8*C8+B9*C9+B10*C10+B11*C11+B12*C12</f>
        <v>0.2003384324</v>
      </c>
      <c r="H8" s="7">
        <f>C5*B2+C6*(B5+B2)+C7*(B6+B5+B2)+C8*(B7+B6+B5+B2)+C9*(B8+B7+B6+B5+B2)+C10*(B9+B8+B7+B6+B5+B2)+C11*(B10+B9+B7+B8+B6+B5+B2)</f>
        <v>0.13555202</v>
      </c>
      <c r="J8" s="3"/>
      <c r="K8" s="4"/>
      <c r="L8" s="5">
        <v>15.0</v>
      </c>
      <c r="M8" s="6">
        <f t="shared" si="3"/>
        <v>0.06899287149</v>
      </c>
      <c r="N8" s="3"/>
      <c r="O8" s="4"/>
      <c r="P8" s="5">
        <v>10.0</v>
      </c>
      <c r="Q8" s="6">
        <f t="shared" si="4"/>
        <v>0.1053605157</v>
      </c>
    </row>
    <row r="9">
      <c r="A9" s="2">
        <v>5.0</v>
      </c>
      <c r="B9" s="7">
        <f t="shared" ref="B9:C9" si="9">((B$3^$A9)/FACT($A9))*EXP(-B$3)</f>
        <v>0.0381718207</v>
      </c>
      <c r="C9" s="7">
        <f t="shared" si="9"/>
        <v>0.001176206113</v>
      </c>
      <c r="F9" s="9">
        <f t="shared" ref="F9:H9" si="10">1/F8</f>
        <v>1.506396986</v>
      </c>
      <c r="G9" s="9">
        <f t="shared" si="10"/>
        <v>4.991553484</v>
      </c>
      <c r="H9" s="9">
        <f t="shared" si="10"/>
        <v>7.377241592</v>
      </c>
      <c r="J9" s="3"/>
      <c r="K9" s="4"/>
      <c r="L9" s="5">
        <v>15.0</v>
      </c>
      <c r="M9" s="6">
        <f t="shared" si="3"/>
        <v>0.06899287149</v>
      </c>
      <c r="N9" s="3"/>
      <c r="O9" s="4"/>
      <c r="P9" s="5">
        <v>15.0</v>
      </c>
      <c r="Q9" s="6">
        <f t="shared" si="4"/>
        <v>0.06899287149</v>
      </c>
    </row>
    <row r="10">
      <c r="A10" s="2">
        <v>6.0</v>
      </c>
      <c r="B10" s="7">
        <f t="shared" ref="B10:C10" si="11">((B$3^$A10)/FACT($A10))*EXP(-B$3)</f>
        <v>0.0129656485</v>
      </c>
      <c r="C10" s="7">
        <f t="shared" si="11"/>
        <v>0.0001552592069</v>
      </c>
      <c r="J10" s="3"/>
      <c r="K10" s="4"/>
      <c r="L10" s="5">
        <v>15.0</v>
      </c>
      <c r="M10" s="6">
        <f t="shared" si="3"/>
        <v>0.06899287149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0.003774842383</v>
      </c>
      <c r="C11" s="7">
        <f t="shared" si="12"/>
        <v>0.00001756647027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15.0</v>
      </c>
      <c r="Q11" s="6">
        <f t="shared" si="4"/>
        <v>0.06899287149</v>
      </c>
    </row>
    <row r="12">
      <c r="A12" s="2">
        <v>8.0</v>
      </c>
      <c r="B12" s="7">
        <f t="shared" ref="B12:C12" si="13">((B$3^$A12)/FACT($A12))*EXP(-B$3)</f>
        <v>0.000961637641</v>
      </c>
      <c r="C12" s="7">
        <f t="shared" si="13"/>
        <v>0.000001739080557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wolves</v>
      </c>
      <c r="J13" s="3"/>
      <c r="K13" s="3"/>
      <c r="L13" s="3" t="s">
        <v>14</v>
      </c>
      <c r="M13" s="6">
        <f>SUM(M2:M11)</f>
        <v>1.540710033</v>
      </c>
      <c r="N13" s="3"/>
      <c r="O13" s="3"/>
      <c r="P13" s="3" t="s">
        <v>14</v>
      </c>
      <c r="Q13" s="6">
        <f>SUM(Q2:Q11)</f>
        <v>1.457369399</v>
      </c>
    </row>
    <row r="14">
      <c r="A14" s="7" t="str">
        <f>B1</f>
        <v>leeds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1.333731419</v>
      </c>
      <c r="N14" s="3"/>
      <c r="O14" s="3"/>
      <c r="P14" s="3" t="s">
        <v>15</v>
      </c>
      <c r="Q14" s="6">
        <f>SUM(Q2:Q8)</f>
        <v>1.250390784</v>
      </c>
    </row>
    <row r="15">
      <c r="A15" s="2">
        <v>0.0</v>
      </c>
      <c r="B15" s="7">
        <f>B2*$C$2</f>
        <v>0.05901328589</v>
      </c>
      <c r="C15" s="7">
        <f>C5*B2</f>
        <v>0.04673852243</v>
      </c>
      <c r="D15" s="7">
        <f>C6*B2</f>
        <v>0.01850845488</v>
      </c>
      <c r="E15" s="7">
        <f>C7*B2</f>
        <v>0.004886232089</v>
      </c>
      <c r="F15" s="7">
        <f>C8*B2</f>
        <v>0.0009674739536</v>
      </c>
      <c r="G15" s="7">
        <f>C9*B2</f>
        <v>0.0001532478742</v>
      </c>
      <c r="H15" s="7">
        <f>$C$10*B2</f>
        <v>0.0000202287194</v>
      </c>
    </row>
    <row r="16">
      <c r="A16" s="2">
        <v>1.0</v>
      </c>
      <c r="B16" s="7">
        <f t="shared" ref="B16:B21" si="14">B5*$C$2</f>
        <v>0.1202686444</v>
      </c>
      <c r="C16" s="7">
        <f t="shared" ref="C16:C21" si="15">$C$5*B5</f>
        <v>0.09525276639</v>
      </c>
      <c r="D16" s="7">
        <f t="shared" ref="D16:D21" si="16">$C$6*B5</f>
        <v>0.03772009549</v>
      </c>
      <c r="E16" s="7">
        <f t="shared" ref="E16:E21" si="17">$C$7*B5</f>
        <v>0.009958105209</v>
      </c>
      <c r="F16" s="7">
        <f t="shared" ref="F16:F21" si="18">$C$8*B5</f>
        <v>0.001971704831</v>
      </c>
      <c r="G16" s="7">
        <f t="shared" ref="G16:G21" si="19">$C$9*B5</f>
        <v>0.0003123180453</v>
      </c>
      <c r="H16" s="7">
        <f t="shared" ref="H16:H21" si="20">$C$10*B5</f>
        <v>0.00004122598198</v>
      </c>
    </row>
    <row r="17">
      <c r="A17" s="2">
        <v>2.0</v>
      </c>
      <c r="B17" s="7">
        <f t="shared" si="14"/>
        <v>0.1225533082</v>
      </c>
      <c r="C17" s="7">
        <f t="shared" si="15"/>
        <v>0.09706222012</v>
      </c>
      <c r="D17" s="7">
        <f t="shared" si="16"/>
        <v>0.03843663917</v>
      </c>
      <c r="E17" s="7">
        <f t="shared" si="17"/>
        <v>0.01014727274</v>
      </c>
      <c r="F17" s="7">
        <f t="shared" si="18"/>
        <v>0.002009160003</v>
      </c>
      <c r="G17" s="7">
        <f t="shared" si="19"/>
        <v>0.0003182509444</v>
      </c>
      <c r="H17" s="7">
        <f t="shared" si="20"/>
        <v>0.00004200912466</v>
      </c>
    </row>
    <row r="18">
      <c r="A18" s="2">
        <v>3.0</v>
      </c>
      <c r="B18" s="7">
        <f t="shared" si="14"/>
        <v>0.08325424819</v>
      </c>
      <c r="C18" s="7">
        <f t="shared" si="15"/>
        <v>0.06593736457</v>
      </c>
      <c r="D18" s="7">
        <f t="shared" si="16"/>
        <v>0.02611119637</v>
      </c>
      <c r="E18" s="7">
        <f t="shared" si="17"/>
        <v>0.006893355841</v>
      </c>
      <c r="F18" s="7">
        <f t="shared" si="18"/>
        <v>0.001364884457</v>
      </c>
      <c r="G18" s="7">
        <f t="shared" si="19"/>
        <v>0.0002161976979</v>
      </c>
      <c r="H18" s="7">
        <f t="shared" si="20"/>
        <v>0.00002853809613</v>
      </c>
    </row>
    <row r="19">
      <c r="A19" s="2">
        <v>4.0</v>
      </c>
      <c r="B19" s="7">
        <f t="shared" si="14"/>
        <v>0.04241788701</v>
      </c>
      <c r="C19" s="7">
        <f t="shared" si="15"/>
        <v>0.03359496651</v>
      </c>
      <c r="D19" s="7">
        <f t="shared" si="16"/>
        <v>0.01330360674</v>
      </c>
      <c r="E19" s="7">
        <f t="shared" si="17"/>
        <v>0.003512152179</v>
      </c>
      <c r="F19" s="7">
        <f t="shared" si="18"/>
        <v>0.0006954061314</v>
      </c>
      <c r="G19" s="7">
        <f t="shared" si="19"/>
        <v>0.0001101523312</v>
      </c>
      <c r="H19" s="7">
        <f t="shared" si="20"/>
        <v>0.00001454010772</v>
      </c>
    </row>
    <row r="20">
      <c r="A20" s="2">
        <v>5.0</v>
      </c>
      <c r="B20" s="7">
        <f t="shared" si="14"/>
        <v>0.01728946861</v>
      </c>
      <c r="C20" s="7">
        <f t="shared" si="15"/>
        <v>0.01369325914</v>
      </c>
      <c r="D20" s="7">
        <f t="shared" si="16"/>
        <v>0.005422530619</v>
      </c>
      <c r="E20" s="7">
        <f t="shared" si="17"/>
        <v>0.001431548083</v>
      </c>
      <c r="F20" s="7">
        <f t="shared" si="18"/>
        <v>0.0002834465205</v>
      </c>
      <c r="G20" s="7">
        <f t="shared" si="19"/>
        <v>0.00004489792885</v>
      </c>
      <c r="H20" s="7">
        <f t="shared" si="20"/>
        <v>0.000005926526608</v>
      </c>
    </row>
    <row r="21">
      <c r="A21" s="2">
        <v>6.0</v>
      </c>
      <c r="B21" s="7">
        <f t="shared" si="14"/>
        <v>0.005872635066</v>
      </c>
      <c r="C21" s="7">
        <f t="shared" si="15"/>
        <v>0.004651126972</v>
      </c>
      <c r="D21" s="7">
        <f t="shared" si="16"/>
        <v>0.001841846281</v>
      </c>
      <c r="E21" s="7">
        <f t="shared" si="17"/>
        <v>0.0004862474182</v>
      </c>
      <c r="F21" s="7">
        <f t="shared" si="18"/>
        <v>0.0000962769888</v>
      </c>
      <c r="G21" s="7">
        <f t="shared" si="19"/>
        <v>0.00001525027503</v>
      </c>
      <c r="H21" s="7">
        <f t="shared" si="20"/>
        <v>0.000002013036303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0.0004355622421</v>
      </c>
      <c r="C25" s="10">
        <f>C15*B12</f>
        <v>0.00004494552245</v>
      </c>
      <c r="D25" s="10">
        <f>C16*B12</f>
        <v>0.00009159864557</v>
      </c>
      <c r="E25" s="10">
        <f>C17*B12</f>
        <v>0.00009333868439</v>
      </c>
      <c r="F25" s="10">
        <f>C18*B12</f>
        <v>0.00006340785172</v>
      </c>
      <c r="G25" s="10">
        <f>C19*B12</f>
        <v>0.00003230618435</v>
      </c>
      <c r="H25" s="10">
        <f>$C$10*B12</f>
        <v>0.0000001493030975</v>
      </c>
    </row>
    <row r="26">
      <c r="A26" s="2">
        <v>1.0</v>
      </c>
      <c r="B26" s="10">
        <f t="shared" ref="B26:B31" si="21">B15*$C$2</f>
        <v>0.02672936044</v>
      </c>
      <c r="C26" s="10">
        <f t="shared" ref="C26:C31" si="22">$C$5*B15</f>
        <v>0.02116965347</v>
      </c>
      <c r="D26" s="10">
        <f>$C$6*B15</f>
        <v>0.008383182774</v>
      </c>
      <c r="E26" s="10">
        <f>$C$7*B15</f>
        <v>0.002213160252</v>
      </c>
      <c r="F26" s="10">
        <f>$C$8*B15</f>
        <v>0.0004382057299</v>
      </c>
      <c r="G26" s="10">
        <f>$C$9*B15</f>
        <v>0.00006941178762</v>
      </c>
      <c r="H26" s="10">
        <f>$C$10*B15</f>
        <v>0.000009162355966</v>
      </c>
    </row>
    <row r="27">
      <c r="A27" s="2">
        <v>2.0</v>
      </c>
      <c r="B27" s="10">
        <f t="shared" si="21"/>
        <v>0.05447424081</v>
      </c>
      <c r="C27" s="10">
        <f t="shared" si="22"/>
        <v>0.04314359872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0.05550905189</v>
      </c>
      <c r="C28" s="10">
        <f t="shared" si="22"/>
        <v>0.0439631691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0.03770901373</v>
      </c>
      <c r="C29" s="10">
        <f t="shared" si="22"/>
        <v>0.02986553887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0.01921267345</v>
      </c>
      <c r="C30" s="10">
        <f t="shared" si="22"/>
        <v>0.01521643737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0.007831057554</v>
      </c>
      <c r="C31" s="10">
        <f t="shared" si="22"/>
        <v>0.006202197583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leeds</v>
      </c>
      <c r="J33" s="2" t="s">
        <v>17</v>
      </c>
      <c r="K33" s="7" t="str">
        <f>B13</f>
        <v>wolves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0.0001972826964</v>
      </c>
      <c r="C36" s="10">
        <f t="shared" ref="C36:C41" si="24">$C$5*B25</f>
        <v>0.0001562478955</v>
      </c>
      <c r="D36" s="10">
        <f>$C$6*B25</f>
        <v>0.00006187416664</v>
      </c>
      <c r="E36" s="10">
        <f>$C$7*B25</f>
        <v>0.00001633477999</v>
      </c>
      <c r="F36" s="10">
        <f>$C$8*B25</f>
        <v>0.000003234286438</v>
      </c>
      <c r="G36" s="10">
        <f>$C$9*B25</f>
        <v>0.0000005123109718</v>
      </c>
      <c r="H36" s="10">
        <f>$C$10*B25</f>
        <v>0.00000006762504828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0.0121067434</v>
      </c>
      <c r="C37" s="10">
        <f t="shared" si="24"/>
        <v>0.009588540773</v>
      </c>
      <c r="D37" s="7">
        <f t="shared" ref="D37:H37" si="25">D27*D17</f>
        <v>0.006406106528</v>
      </c>
      <c r="E37" s="7">
        <f t="shared" si="25"/>
        <v>0.001014727274</v>
      </c>
      <c r="F37" s="7">
        <f t="shared" si="25"/>
        <v>0.0001339440002</v>
      </c>
      <c r="G37" s="7">
        <f t="shared" si="25"/>
        <v>0.00001515480688</v>
      </c>
      <c r="H37" s="7">
        <f t="shared" si="25"/>
        <v>0.000001500325881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0.006406106528</v>
      </c>
      <c r="N37" s="7">
        <f>E27*D18</f>
        <v>0.002611119637</v>
      </c>
      <c r="O37" s="7">
        <f>F27*D19</f>
        <v>0.0008869071159</v>
      </c>
      <c r="P37" s="7">
        <f>G27*D20</f>
        <v>0.0002582157438</v>
      </c>
      <c r="Q37" s="7">
        <f>H27*D21</f>
        <v>0.00006578022432</v>
      </c>
    </row>
    <row r="38">
      <c r="A38" s="2">
        <v>3.0</v>
      </c>
      <c r="B38" s="10">
        <f t="shared" si="23"/>
        <v>0.02467345438</v>
      </c>
      <c r="C38" s="10">
        <f t="shared" si="24"/>
        <v>0.01954137587</v>
      </c>
      <c r="D38" s="10"/>
      <c r="E38" s="7">
        <f t="shared" ref="E38:H38" si="28">E28*E18</f>
        <v>0.002068006752</v>
      </c>
      <c r="F38" s="7">
        <f t="shared" si="28"/>
        <v>0.0002729768913</v>
      </c>
      <c r="G38" s="7">
        <f t="shared" si="28"/>
        <v>0.00003088538542</v>
      </c>
      <c r="H38" s="7">
        <f t="shared" si="28"/>
        <v>0.000003057653156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0.002068006752</v>
      </c>
      <c r="O38" s="7">
        <f>F28*E19</f>
        <v>0.0007024304358</v>
      </c>
      <c r="P38" s="7">
        <f>G28*E20</f>
        <v>0.0002045068691</v>
      </c>
      <c r="Q38" s="7">
        <f>H28*E21</f>
        <v>0.00005209793766</v>
      </c>
    </row>
    <row r="39">
      <c r="A39" s="2">
        <v>4.0</v>
      </c>
      <c r="B39" s="10">
        <f t="shared" si="23"/>
        <v>0.02514215965</v>
      </c>
      <c r="C39" s="10">
        <f t="shared" si="24"/>
        <v>0.01991259045</v>
      </c>
      <c r="D39" s="10"/>
      <c r="E39" s="10"/>
      <c r="F39" s="7">
        <f t="shared" ref="F39:H39" si="29">F29*F19</f>
        <v>0.0002781624526</v>
      </c>
      <c r="G39" s="7">
        <f t="shared" si="29"/>
        <v>0.00003147209463</v>
      </c>
      <c r="H39" s="7">
        <f t="shared" si="29"/>
        <v>0.000003115737369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0.0002781624526</v>
      </c>
      <c r="P39" s="7">
        <f>G29*F20</f>
        <v>0.00008098472015</v>
      </c>
      <c r="Q39" s="7">
        <f>H29*F21</f>
        <v>0.00002063078331</v>
      </c>
    </row>
    <row r="40">
      <c r="A40" s="2">
        <v>5.0</v>
      </c>
      <c r="B40" s="10">
        <f t="shared" si="23"/>
        <v>0.01707984574</v>
      </c>
      <c r="C40" s="10">
        <f t="shared" si="24"/>
        <v>0.01352723783</v>
      </c>
      <c r="D40" s="10"/>
      <c r="E40" s="10"/>
      <c r="F40" s="10"/>
      <c r="G40" s="7">
        <f t="shared" ref="G40:H40" si="30">G30*G20</f>
        <v>0.00002137996612</v>
      </c>
      <c r="H40" s="7">
        <f t="shared" si="30"/>
        <v>0.000002116616646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0.00002137996612</v>
      </c>
      <c r="Q40" s="7">
        <f>H30*G21</f>
        <v>0.000005446526795</v>
      </c>
    </row>
    <row r="41">
      <c r="A41" s="2">
        <v>6.0</v>
      </c>
      <c r="B41" s="10">
        <f t="shared" si="23"/>
        <v>0.008702150132</v>
      </c>
      <c r="C41" s="10">
        <f t="shared" si="24"/>
        <v>0.006892102904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