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" sheetId="1" r:id="rId5"/>
    <sheet state="visible" name="21" sheetId="2" r:id="rId6"/>
    <sheet state="visible" name="9" sheetId="3" r:id="rId7"/>
    <sheet state="visible" name="17" sheetId="4" r:id="rId8"/>
    <sheet state="visible" name="1" sheetId="5" r:id="rId9"/>
    <sheet state="visible" name="3" sheetId="6" r:id="rId10"/>
    <sheet state="visible" name="10" sheetId="7" r:id="rId11"/>
    <sheet state="visible" name="16" sheetId="8" r:id="rId12"/>
    <sheet state="visible" name="19" sheetId="9" r:id="rId13"/>
    <sheet state="visible" name="7" sheetId="10" r:id="rId14"/>
    <sheet state="visible" name="18" sheetId="11" r:id="rId15"/>
    <sheet state="visible" name="13" sheetId="12" r:id="rId16"/>
    <sheet state="visible" name="11" sheetId="13" r:id="rId17"/>
    <sheet state="visible" name="4" sheetId="14" r:id="rId18"/>
    <sheet state="visible" name="8" sheetId="15" r:id="rId19"/>
    <sheet state="visible" name="15" sheetId="16" r:id="rId20"/>
    <sheet state="visible" name="20" sheetId="17" r:id="rId21"/>
    <sheet state="visible" name="14" sheetId="18" r:id="rId22"/>
    <sheet state="visible" name="2" sheetId="19" r:id="rId23"/>
    <sheet state="visible" name="12" sheetId="20" r:id="rId24"/>
    <sheet state="visible" name="5" sheetId="21" r:id="rId25"/>
  </sheets>
  <definedNames/>
  <calcPr/>
</workbook>
</file>

<file path=xl/sharedStrings.xml><?xml version="1.0" encoding="utf-8"?>
<sst xmlns="http://schemas.openxmlformats.org/spreadsheetml/2006/main" count="525" uniqueCount="56">
  <si>
    <t>leipzig</t>
  </si>
  <si>
    <t>union berlin</t>
  </si>
  <si>
    <t>cut:</t>
  </si>
  <si>
    <t>Joueur</t>
  </si>
  <si>
    <t>Cote</t>
  </si>
  <si>
    <t>xG</t>
  </si>
  <si>
    <t>p(x=0)</t>
  </si>
  <si>
    <t>nb buts :</t>
  </si>
  <si>
    <t>cote victoire</t>
  </si>
  <si>
    <t>cote over :</t>
  </si>
  <si>
    <t>P(garantie)</t>
  </si>
  <si>
    <t>nb buts</t>
  </si>
  <si>
    <t>cote match théo</t>
  </si>
  <si>
    <t>nul</t>
  </si>
  <si>
    <t>xG cotes buteurs</t>
  </si>
  <si>
    <t>xG buteurs no déf</t>
  </si>
  <si>
    <t>matrice proba</t>
  </si>
  <si>
    <t>matrice de :</t>
  </si>
  <si>
    <t>brest</t>
  </si>
  <si>
    <t>lens</t>
  </si>
  <si>
    <t>napoli</t>
  </si>
  <si>
    <t>cremonese</t>
  </si>
  <si>
    <t>sundeland</t>
  </si>
  <si>
    <t>nottingham</t>
  </si>
  <si>
    <t>betis</t>
  </si>
  <si>
    <t>real madrid</t>
  </si>
  <si>
    <t>angers</t>
  </si>
  <si>
    <t>psg</t>
  </si>
  <si>
    <t>getafe</t>
  </si>
  <si>
    <t>barcelone</t>
  </si>
  <si>
    <t>werder</t>
  </si>
  <si>
    <t>hambourg</t>
  </si>
  <si>
    <t>leverkusen</t>
  </si>
  <si>
    <t>augsbourg</t>
  </si>
  <si>
    <t>fribourg</t>
  </si>
  <si>
    <t>heidenheim</t>
  </si>
  <si>
    <t>aston villa</t>
  </si>
  <si>
    <t>sunderland</t>
  </si>
  <si>
    <t>hoffenheim</t>
  </si>
  <si>
    <t>dortmund</t>
  </si>
  <si>
    <t>monaco</t>
  </si>
  <si>
    <t>auxerre</t>
  </si>
  <si>
    <t>hellas verone</t>
  </si>
  <si>
    <t>milan</t>
  </si>
  <si>
    <t>everton</t>
  </si>
  <si>
    <t>liverpool</t>
  </si>
  <si>
    <t>notingham</t>
  </si>
  <si>
    <t>burnley</t>
  </si>
  <si>
    <t>wolfsburg</t>
  </si>
  <si>
    <t>newcastle</t>
  </si>
  <si>
    <t>bournemouth</t>
  </si>
  <si>
    <t>nantes</t>
  </si>
  <si>
    <t>elche</t>
  </si>
  <si>
    <t>atletico</t>
  </si>
  <si>
    <t>leeds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</si>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</sst>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0</v>
      </c>
      <c r="C1" s="1" t="s">
        <v>1</v>
      </c>
      <c r="D1" s="2" t="s">
        <v>2</v>
      </c>
      <c r="G1" s="2" t="str">
        <f t="shared" ref="G1:H1" si="1">B1</f>
        <v>leipzig</v>
      </c>
      <c r="H1" s="2" t="str">
        <f t="shared" si="1"/>
        <v>union berlin</v>
      </c>
      <c r="J1" s="3" t="str">
        <f>G1</f>
        <v>leipzig</v>
      </c>
      <c r="K1" s="3" t="s">
        <v>3</v>
      </c>
      <c r="L1" s="3" t="s">
        <v>4</v>
      </c>
      <c r="M1" s="3" t="s">
        <v>5</v>
      </c>
      <c r="N1" s="3" t="str">
        <f>H1</f>
        <v>union berlin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0.11070919408272262</v>
      </c>
      <c r="C2" s="1">
        <v>0.3867410234545009</v>
      </c>
      <c r="D2" s="2" t="s">
        <v>7</v>
      </c>
      <c r="E2" s="1">
        <v>2.5</v>
      </c>
      <c r="F2" s="2" t="s">
        <v>8</v>
      </c>
      <c r="G2" s="1">
        <v>1.547</v>
      </c>
      <c r="H2" s="1">
        <v>6.75</v>
      </c>
      <c r="J2" s="3"/>
      <c r="K2" s="4"/>
      <c r="L2" s="5">
        <v>6.0</v>
      </c>
      <c r="M2" s="6">
        <f t="shared" ref="M2:M11" si="3">IFERROR(-ln(1-(1/L2)),0)</f>
        <v>0.1823215568</v>
      </c>
      <c r="N2" s="3"/>
      <c r="O2" s="4"/>
      <c r="P2" s="5">
        <v>1.9</v>
      </c>
      <c r="Q2" s="6">
        <f t="shared" ref="Q2:Q11" si="4">IFERROR(-ln(1-(1/P2)),0)</f>
        <v>0.7472144018</v>
      </c>
    </row>
    <row r="3">
      <c r="A3" s="2" t="s">
        <v>5</v>
      </c>
      <c r="B3" s="7">
        <f t="shared" ref="B3:C3" si="2">-ln(B2)</f>
        <v>2.200848389</v>
      </c>
      <c r="C3" s="7">
        <f t="shared" si="2"/>
        <v>0.95</v>
      </c>
      <c r="D3" s="2" t="s">
        <v>9</v>
      </c>
      <c r="E3" s="1">
        <v>1.64</v>
      </c>
      <c r="F3" s="2" t="s">
        <v>10</v>
      </c>
      <c r="G3" s="8">
        <f>1/(1/G2+SUM(D37:H40))</f>
        <v>1.513920568</v>
      </c>
      <c r="H3" s="8">
        <f>1/(1/H2+SUM(M37:Q40))</f>
        <v>5.989872225</v>
      </c>
      <c r="J3" s="3"/>
      <c r="K3" s="4"/>
      <c r="L3" s="5">
        <v>8.0</v>
      </c>
      <c r="M3" s="6">
        <f t="shared" si="3"/>
        <v>0.1335313926</v>
      </c>
      <c r="N3" s="3"/>
      <c r="O3" s="4"/>
      <c r="P3" s="5">
        <v>2.5</v>
      </c>
      <c r="Q3" s="6">
        <f t="shared" si="4"/>
        <v>0.5108256238</v>
      </c>
    </row>
    <row r="4">
      <c r="A4" s="2" t="s">
        <v>11</v>
      </c>
      <c r="J4" s="3"/>
      <c r="K4" s="4"/>
      <c r="L4" s="5">
        <v>8.0</v>
      </c>
      <c r="M4" s="6">
        <f t="shared" si="3"/>
        <v>0.1335313926</v>
      </c>
      <c r="N4" s="3"/>
      <c r="O4" s="4"/>
      <c r="P4" s="5">
        <v>3.0</v>
      </c>
      <c r="Q4" s="6">
        <f t="shared" si="4"/>
        <v>0.4054651081</v>
      </c>
    </row>
    <row r="5">
      <c r="A5" s="2">
        <v>1.0</v>
      </c>
      <c r="B5" s="7">
        <f t="shared" ref="B5:C5" si="5">((B$3^$A5)/FACT($A5))*EXP(-B$3)</f>
        <v>0.2436541514</v>
      </c>
      <c r="C5" s="7">
        <f t="shared" si="5"/>
        <v>0.3674039723</v>
      </c>
      <c r="D5" s="2">
        <v>1.5</v>
      </c>
      <c r="E5" s="7">
        <f>1/(B2*(C2+C5)+B5*C2)</f>
        <v>5.626770445</v>
      </c>
      <c r="J5" s="3"/>
      <c r="K5" s="4"/>
      <c r="L5" s="5">
        <v>10.0</v>
      </c>
      <c r="M5" s="6">
        <f t="shared" si="3"/>
        <v>0.1053605157</v>
      </c>
      <c r="N5" s="3"/>
      <c r="O5" s="4"/>
      <c r="P5" s="5">
        <v>5.0</v>
      </c>
      <c r="Q5" s="6">
        <f t="shared" si="4"/>
        <v>0.2231435513</v>
      </c>
    </row>
    <row r="6">
      <c r="A6" s="2">
        <v>2.0</v>
      </c>
      <c r="B6" s="7">
        <f t="shared" ref="B6:C6" si="6">((B$3^$A6)/FACT($A6))*EXP(-B$3)</f>
        <v>0.2681229233</v>
      </c>
      <c r="C6" s="7">
        <f t="shared" si="6"/>
        <v>0.1745168868</v>
      </c>
      <c r="D6" s="2">
        <v>2.5</v>
      </c>
      <c r="E6" s="7">
        <f>1/(B2*(C2+C5+C6)+B5*(C2+C5)+B6*C2)</f>
        <v>2.5624199</v>
      </c>
      <c r="F6" s="2" t="s">
        <v>12</v>
      </c>
      <c r="J6" s="3"/>
      <c r="K6" s="4"/>
      <c r="L6" s="5">
        <v>10.0</v>
      </c>
      <c r="M6" s="6">
        <f t="shared" si="3"/>
        <v>0.1053605157</v>
      </c>
      <c r="N6" s="3"/>
      <c r="O6" s="4"/>
      <c r="P6" s="5">
        <v>6.0</v>
      </c>
      <c r="Q6" s="6">
        <f t="shared" si="4"/>
        <v>0.1823215568</v>
      </c>
    </row>
    <row r="7">
      <c r="A7" s="2">
        <v>3.0</v>
      </c>
      <c r="B7" s="7">
        <f t="shared" ref="B7:C7" si="7">((B$3^$A7)/FACT($A7))*EXP(-B$3)</f>
        <v>0.1966993012</v>
      </c>
      <c r="C7" s="7">
        <f t="shared" si="7"/>
        <v>0.05526368083</v>
      </c>
      <c r="D7" s="2">
        <v>3.5</v>
      </c>
      <c r="E7" s="7">
        <f>1/(B2*(C2+C5+C6+C7)+B5*(C2+C5+C6)+B6*(C2+C5)+B7*C2)</f>
        <v>1.630052485</v>
      </c>
      <c r="F7" s="7" t="str">
        <f>B1</f>
        <v>leipzig</v>
      </c>
      <c r="G7" s="2" t="s">
        <v>13</v>
      </c>
      <c r="H7" s="7" t="str">
        <f>C1</f>
        <v>union berlin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8.0</v>
      </c>
      <c r="Q7" s="6">
        <f t="shared" si="4"/>
        <v>0.1335313926</v>
      </c>
    </row>
    <row r="8">
      <c r="A8" s="2">
        <v>4.0</v>
      </c>
      <c r="B8" s="7">
        <f t="shared" ref="B8:C8" si="8">((B$3^$A8)/FACT($A8))*EXP(-B$3)</f>
        <v>0.108226335</v>
      </c>
      <c r="C8" s="7">
        <f t="shared" si="8"/>
        <v>0.0131251242</v>
      </c>
      <c r="D8" s="2">
        <v>4.5</v>
      </c>
      <c r="E8" s="7">
        <f>1/(B2*(C2+C5+C6+C7+C8)+B5*(C2+C5+C6+C7)+B6*(C2+C5+C6)+B7*(C2+C5)+B8*C2)</f>
        <v>1.266927542</v>
      </c>
      <c r="F8" s="7">
        <f>B5*C2+B6*(C5+C2)+B7*(C6+C5+C2)+B8*(C7+C6+C5+C2)+B9*(C8+C7+C6+C5+C2)+B10*(C9+C8+C7+C6+C5+C2)+B11*(C10+C9+C8+C7+C6+C5+C2)+B12*(C11+C10+C9+C8+C7+C6+C5+C2)</f>
        <v>0.657556908</v>
      </c>
      <c r="G8" s="7">
        <f>B2*C2+B5*C5+B6*C6+B7*C7+B8*C8+B9*C9+B10*C10+B11*C11+B12*C12</f>
        <v>0.1915440813</v>
      </c>
      <c r="H8" s="7">
        <f>C5*B2+C6*(B5+B2)+C7*(B6+B5+B2)+C8*(B7+B6+B5+B2)+C9*(B8+B7+B6+B5+B2)+C10*(B9+B8+B7+B6+B5+B2)+C11*(B10+B9+B7+B8+B6+B5+B2)</f>
        <v>0.1504211175</v>
      </c>
      <c r="J8" s="3"/>
      <c r="K8" s="4"/>
      <c r="L8" s="5">
        <v>9.0</v>
      </c>
      <c r="M8" s="6">
        <f t="shared" si="3"/>
        <v>0.1177830357</v>
      </c>
      <c r="N8" s="3"/>
      <c r="O8" s="4"/>
      <c r="P8" s="5">
        <v>15.0</v>
      </c>
      <c r="Q8" s="6">
        <f t="shared" si="4"/>
        <v>0.06899287149</v>
      </c>
    </row>
    <row r="9">
      <c r="A9" s="2">
        <v>5.0</v>
      </c>
      <c r="B9" s="7">
        <f t="shared" ref="B9:C9" si="9">((B$3^$A9)/FACT($A9))*EXP(-B$3)</f>
        <v>0.04763795101</v>
      </c>
      <c r="C9" s="7">
        <f t="shared" si="9"/>
        <v>0.002493773597</v>
      </c>
      <c r="F9" s="9">
        <f t="shared" ref="F9:H9" si="10">1/F8</f>
        <v>1.520780921</v>
      </c>
      <c r="G9" s="9">
        <f t="shared" si="10"/>
        <v>5.220730357</v>
      </c>
      <c r="H9" s="9">
        <f t="shared" si="10"/>
        <v>6.648002732</v>
      </c>
      <c r="J9" s="3"/>
      <c r="K9" s="4"/>
      <c r="L9" s="5">
        <v>10.0</v>
      </c>
      <c r="M9" s="6">
        <f t="shared" si="3"/>
        <v>0.1053605157</v>
      </c>
      <c r="N9" s="3"/>
      <c r="O9" s="4"/>
      <c r="P9" s="5">
        <v>6.0</v>
      </c>
      <c r="Q9" s="6">
        <f t="shared" si="4"/>
        <v>0.1823215568</v>
      </c>
    </row>
    <row r="10">
      <c r="A10" s="2">
        <v>6.0</v>
      </c>
      <c r="B10" s="7">
        <f t="shared" ref="B10:C10" si="11">((B$3^$A10)/FACT($A10))*EXP(-B$3)</f>
        <v>0.01747398462</v>
      </c>
      <c r="C10" s="7">
        <f t="shared" si="11"/>
        <v>0.0003948474863</v>
      </c>
      <c r="J10" s="3"/>
      <c r="K10" s="4"/>
      <c r="L10" s="5">
        <v>13.0</v>
      </c>
      <c r="M10" s="6">
        <f t="shared" si="3"/>
        <v>0.08004270767</v>
      </c>
      <c r="N10" s="3"/>
      <c r="O10" s="4"/>
      <c r="P10" s="5">
        <v>10.0</v>
      </c>
      <c r="Q10" s="6">
        <f t="shared" si="4"/>
        <v>0.1053605157</v>
      </c>
    </row>
    <row r="11">
      <c r="A11" s="2">
        <v>7.0</v>
      </c>
      <c r="B11" s="7">
        <f t="shared" ref="B11:C11" si="12">((B$3^$A11)/FACT($A11))*EXP(-B$3)</f>
        <v>0.005493941557</v>
      </c>
      <c r="C11" s="7">
        <f t="shared" si="12"/>
        <v>0.00005358644457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0.001511416553</v>
      </c>
      <c r="C12" s="7">
        <f t="shared" si="13"/>
        <v>0.000006363390292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union berlin</v>
      </c>
      <c r="J13" s="3"/>
      <c r="K13" s="3"/>
      <c r="L13" s="3" t="s">
        <v>14</v>
      </c>
      <c r="M13" s="6">
        <f>SUM(M2:M11)</f>
        <v>1.137645019</v>
      </c>
      <c r="N13" s="3"/>
      <c r="O13" s="3"/>
      <c r="P13" s="3" t="s">
        <v>14</v>
      </c>
      <c r="Q13" s="6">
        <f>SUM(Q2:Q11)</f>
        <v>2.62816945</v>
      </c>
    </row>
    <row r="14">
      <c r="A14" s="7" t="str">
        <f>B1</f>
        <v>leipzig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0.8832489247</v>
      </c>
      <c r="N14" s="3"/>
      <c r="O14" s="3"/>
      <c r="P14" s="3" t="s">
        <v>15</v>
      </c>
      <c r="Q14" s="6">
        <f>SUM(Q2:Q8)</f>
        <v>2.271494506</v>
      </c>
    </row>
    <row r="15">
      <c r="A15" s="2">
        <v>0.0</v>
      </c>
      <c r="B15" s="7">
        <f>B2*$C$2</f>
        <v>0.04281578703</v>
      </c>
      <c r="C15" s="7">
        <f>C5*B2</f>
        <v>0.04067499767</v>
      </c>
      <c r="D15" s="7">
        <f>C6*B2</f>
        <v>0.0193206239</v>
      </c>
      <c r="E15" s="7">
        <f>C7*B2</f>
        <v>0.006118197567</v>
      </c>
      <c r="F15" s="7">
        <f>C8*B2</f>
        <v>0.001453071922</v>
      </c>
      <c r="G15" s="7">
        <f>C9*B2</f>
        <v>0.0002760836652</v>
      </c>
      <c r="H15" s="7">
        <f>$C$10*B2</f>
        <v>0.00004371324699</v>
      </c>
    </row>
    <row r="16">
      <c r="A16" s="2">
        <v>1.0</v>
      </c>
      <c r="B16" s="7">
        <f t="shared" ref="B16:B21" si="14">B5*$C$2</f>
        <v>0.09423105588</v>
      </c>
      <c r="C16" s="7">
        <f t="shared" ref="C16:C21" si="15">$C$5*B5</f>
        <v>0.08951950309</v>
      </c>
      <c r="D16" s="7">
        <f t="shared" ref="D16:D21" si="16">$C$6*B5</f>
        <v>0.04252176397</v>
      </c>
      <c r="E16" s="7">
        <f t="shared" ref="E16:E21" si="17">$C$7*B5</f>
        <v>0.01346522526</v>
      </c>
      <c r="F16" s="7">
        <f t="shared" ref="F16:F21" si="18">$C$8*B5</f>
        <v>0.003197990998</v>
      </c>
      <c r="G16" s="7">
        <f t="shared" ref="G16:G21" si="19">$C$9*B5</f>
        <v>0.0006076182897</v>
      </c>
      <c r="H16" s="7">
        <f t="shared" ref="H16:H21" si="20">$C$10*B5</f>
        <v>0.0000962062292</v>
      </c>
    </row>
    <row r="17">
      <c r="A17" s="2">
        <v>2.0</v>
      </c>
      <c r="B17" s="7">
        <f t="shared" si="14"/>
        <v>0.1036941338</v>
      </c>
      <c r="C17" s="7">
        <f t="shared" si="15"/>
        <v>0.09850942707</v>
      </c>
      <c r="D17" s="7">
        <f t="shared" si="16"/>
        <v>0.04679197786</v>
      </c>
      <c r="E17" s="7">
        <f t="shared" si="17"/>
        <v>0.01481745965</v>
      </c>
      <c r="F17" s="7">
        <f t="shared" si="18"/>
        <v>0.003519146668</v>
      </c>
      <c r="G17" s="7">
        <f t="shared" si="19"/>
        <v>0.0006686378669</v>
      </c>
      <c r="H17" s="7">
        <f t="shared" si="20"/>
        <v>0.0001058676623</v>
      </c>
    </row>
    <row r="18">
      <c r="A18" s="2">
        <v>3.0</v>
      </c>
      <c r="B18" s="7">
        <f t="shared" si="14"/>
        <v>0.07607168906</v>
      </c>
      <c r="C18" s="7">
        <f t="shared" si="15"/>
        <v>0.07226810461</v>
      </c>
      <c r="D18" s="7">
        <f t="shared" si="16"/>
        <v>0.03432734969</v>
      </c>
      <c r="E18" s="7">
        <f t="shared" si="17"/>
        <v>0.0108703274</v>
      </c>
      <c r="F18" s="7">
        <f t="shared" si="18"/>
        <v>0.002581702758</v>
      </c>
      <c r="G18" s="7">
        <f t="shared" si="19"/>
        <v>0.000490523524</v>
      </c>
      <c r="H18" s="7">
        <f t="shared" si="20"/>
        <v>0.00007766622463</v>
      </c>
    </row>
    <row r="19">
      <c r="A19" s="2">
        <v>4.0</v>
      </c>
      <c r="B19" s="7">
        <f t="shared" si="14"/>
        <v>0.04185556357</v>
      </c>
      <c r="C19" s="7">
        <f t="shared" si="15"/>
        <v>0.0397627854</v>
      </c>
      <c r="D19" s="7">
        <f t="shared" si="16"/>
        <v>0.01888732306</v>
      </c>
      <c r="E19" s="7">
        <f t="shared" si="17"/>
        <v>0.005980985637</v>
      </c>
      <c r="F19" s="7">
        <f t="shared" si="18"/>
        <v>0.001420484089</v>
      </c>
      <c r="G19" s="7">
        <f t="shared" si="19"/>
        <v>0.0002698919768</v>
      </c>
      <c r="H19" s="7">
        <f t="shared" si="20"/>
        <v>0.00004273289633</v>
      </c>
    </row>
    <row r="20">
      <c r="A20" s="2">
        <v>5.0</v>
      </c>
      <c r="B20" s="7">
        <f t="shared" si="14"/>
        <v>0.01842354993</v>
      </c>
      <c r="C20" s="7">
        <f t="shared" si="15"/>
        <v>0.01750237243</v>
      </c>
      <c r="D20" s="7">
        <f t="shared" si="16"/>
        <v>0.008313626906</v>
      </c>
      <c r="E20" s="7">
        <f t="shared" si="17"/>
        <v>0.00263264852</v>
      </c>
      <c r="F20" s="7">
        <f t="shared" si="18"/>
        <v>0.0006252540235</v>
      </c>
      <c r="G20" s="7">
        <f t="shared" si="19"/>
        <v>0.0001187982645</v>
      </c>
      <c r="H20" s="7">
        <f t="shared" si="20"/>
        <v>0.00001880972521</v>
      </c>
    </row>
    <row r="21">
      <c r="A21" s="2">
        <v>6.0</v>
      </c>
      <c r="B21" s="7">
        <f t="shared" si="14"/>
        <v>0.006757906696</v>
      </c>
      <c r="C21" s="7">
        <f t="shared" si="15"/>
        <v>0.006420011361</v>
      </c>
      <c r="D21" s="7">
        <f t="shared" si="16"/>
        <v>0.003049505397</v>
      </c>
      <c r="E21" s="7">
        <f t="shared" si="17"/>
        <v>0.0009656767089</v>
      </c>
      <c r="F21" s="7">
        <f t="shared" si="18"/>
        <v>0.0002293482184</v>
      </c>
      <c r="G21" s="7">
        <f t="shared" si="19"/>
        <v>0.00004357616149</v>
      </c>
      <c r="H21" s="7">
        <f t="shared" si="20"/>
        <v>0.000006899558903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0.0005845267845</v>
      </c>
      <c r="C25" s="10">
        <f>C15*B12</f>
        <v>0.00006147686477</v>
      </c>
      <c r="D25" s="10">
        <f>C16*B12</f>
        <v>0.0001353012588</v>
      </c>
      <c r="E25" s="10">
        <f>C17*B12</f>
        <v>0.0001488887787</v>
      </c>
      <c r="F25" s="10">
        <f>C18*B12</f>
        <v>0.0001092272095</v>
      </c>
      <c r="G25" s="10">
        <f>C19*B12</f>
        <v>0.00006009813203</v>
      </c>
      <c r="H25" s="10">
        <f>$C$10*B12</f>
        <v>0.0000005967790266</v>
      </c>
    </row>
    <row r="26">
      <c r="A26" s="2">
        <v>1.0</v>
      </c>
      <c r="B26" s="10">
        <f t="shared" ref="B26:B31" si="21">B15*$C$2</f>
        <v>0.01655862129</v>
      </c>
      <c r="C26" s="10">
        <f t="shared" ref="C26:C31" si="22">$C$5*B15</f>
        <v>0.01573069023</v>
      </c>
      <c r="D26" s="10">
        <f>$C$6*B15</f>
        <v>0.007472077859</v>
      </c>
      <c r="E26" s="10">
        <f>$C$7*B15</f>
        <v>0.002366157989</v>
      </c>
      <c r="F26" s="10">
        <f>$C$8*B15</f>
        <v>0.0005619625223</v>
      </c>
      <c r="G26" s="10">
        <f>$C$9*B15</f>
        <v>0.0001067728792</v>
      </c>
      <c r="H26" s="10">
        <f>$C$10*B15</f>
        <v>0.00001690570588</v>
      </c>
    </row>
    <row r="27">
      <c r="A27" s="2">
        <v>2.0</v>
      </c>
      <c r="B27" s="10">
        <f t="shared" si="21"/>
        <v>0.03644301499</v>
      </c>
      <c r="C27" s="10">
        <f t="shared" si="22"/>
        <v>0.03462086424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0.04010277541</v>
      </c>
      <c r="C28" s="10">
        <f t="shared" si="22"/>
        <v>0.03809763664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0.02942004288</v>
      </c>
      <c r="C29" s="10">
        <f t="shared" si="22"/>
        <v>0.02794904074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0.01618726349</v>
      </c>
      <c r="C30" s="10">
        <f t="shared" si="22"/>
        <v>0.01537790032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0.007125142555</v>
      </c>
      <c r="C31" s="10">
        <f t="shared" si="22"/>
        <v>0.006768885428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leipzig</v>
      </c>
      <c r="J33" s="2" t="s">
        <v>17</v>
      </c>
      <c r="K33" s="7" t="str">
        <f>B13</f>
        <v>union berlin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0.0002260604869</v>
      </c>
      <c r="C36" s="10">
        <f t="shared" ref="C36:C41" si="24">$C$5*B25</f>
        <v>0.0002147574625</v>
      </c>
      <c r="D36" s="10">
        <f>$C$6*B25</f>
        <v>0.0001020097947</v>
      </c>
      <c r="E36" s="10">
        <f>$C$7*B25</f>
        <v>0.00003230310166</v>
      </c>
      <c r="F36" s="10">
        <f>$C$8*B25</f>
        <v>0.000007671986643</v>
      </c>
      <c r="G36" s="10">
        <f>$C$9*B25</f>
        <v>0.000001457677462</v>
      </c>
      <c r="H36" s="10">
        <f>$C$10*B25</f>
        <v>0.0000002307989315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0.006403898146</v>
      </c>
      <c r="C37" s="10">
        <f t="shared" si="24"/>
        <v>0.006083703239</v>
      </c>
      <c r="D37" s="7">
        <f t="shared" ref="D37:H37" si="25">D27*D17</f>
        <v>0.007798662976</v>
      </c>
      <c r="E37" s="7">
        <f t="shared" si="25"/>
        <v>0.001481745965</v>
      </c>
      <c r="F37" s="7">
        <f t="shared" si="25"/>
        <v>0.0002346097779</v>
      </c>
      <c r="G37" s="7">
        <f t="shared" si="25"/>
        <v>0.00003183989842</v>
      </c>
      <c r="H37" s="7">
        <f t="shared" si="25"/>
        <v>0.000003780987938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0.007798662976</v>
      </c>
      <c r="N37" s="7">
        <f>E27*D18</f>
        <v>0.003432734969</v>
      </c>
      <c r="O37" s="7">
        <f>F27*D19</f>
        <v>0.001259154871</v>
      </c>
      <c r="P37" s="7">
        <f>G27*D20</f>
        <v>0.0003958869955</v>
      </c>
      <c r="Q37" s="7">
        <f>H27*D21</f>
        <v>0.000108910907</v>
      </c>
    </row>
    <row r="38">
      <c r="A38" s="2">
        <v>3.0</v>
      </c>
      <c r="B38" s="10">
        <f t="shared" si="23"/>
        <v>0.01409400892</v>
      </c>
      <c r="C38" s="10">
        <f t="shared" si="24"/>
        <v>0.01338930847</v>
      </c>
      <c r="D38" s="10"/>
      <c r="E38" s="7">
        <f t="shared" ref="E38:H38" si="28">E28*E18</f>
        <v>0.00326109822</v>
      </c>
      <c r="F38" s="7">
        <f t="shared" si="28"/>
        <v>0.0005163405516</v>
      </c>
      <c r="G38" s="7">
        <f t="shared" si="28"/>
        <v>0.00007007478914</v>
      </c>
      <c r="H38" s="7">
        <f t="shared" si="28"/>
        <v>0.000008321381211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0.00326109822</v>
      </c>
      <c r="O38" s="7">
        <f>F28*E19</f>
        <v>0.001196197127</v>
      </c>
      <c r="P38" s="7">
        <f>G28*E20</f>
        <v>0.0003760926457</v>
      </c>
      <c r="Q38" s="7">
        <f>H28*E21</f>
        <v>0.0001034653617</v>
      </c>
    </row>
    <row r="39">
      <c r="A39" s="2">
        <v>4.0</v>
      </c>
      <c r="B39" s="10">
        <f t="shared" si="23"/>
        <v>0.01550938841</v>
      </c>
      <c r="C39" s="10">
        <f t="shared" si="24"/>
        <v>0.01473391899</v>
      </c>
      <c r="D39" s="10"/>
      <c r="E39" s="10"/>
      <c r="F39" s="7">
        <f t="shared" ref="F39:H39" si="29">F29*F19</f>
        <v>0.0005681936355</v>
      </c>
      <c r="G39" s="7">
        <f t="shared" si="29"/>
        <v>0.00007711199339</v>
      </c>
      <c r="H39" s="7">
        <f t="shared" si="29"/>
        <v>0.000009157049214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0.0005681936355</v>
      </c>
      <c r="P39" s="7">
        <f>G29*F20</f>
        <v>0.0001786440067</v>
      </c>
      <c r="Q39" s="7">
        <f>H29*F21</f>
        <v>0.00004914604679</v>
      </c>
    </row>
    <row r="40">
      <c r="A40" s="2">
        <v>5.0</v>
      </c>
      <c r="B40" s="10">
        <f t="shared" si="23"/>
        <v>0.01137793749</v>
      </c>
      <c r="C40" s="10">
        <f t="shared" si="24"/>
        <v>0.01080904062</v>
      </c>
      <c r="D40" s="10"/>
      <c r="E40" s="10"/>
      <c r="F40" s="10"/>
      <c r="G40" s="7">
        <f t="shared" ref="G40:H40" si="30">G30*G20</f>
        <v>0.00005657060213</v>
      </c>
      <c r="H40" s="7">
        <f t="shared" si="30"/>
        <v>0.000006717759003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0.00005657060213</v>
      </c>
      <c r="Q40" s="7">
        <f>H30*G21</f>
        <v>0.00001556291482</v>
      </c>
    </row>
    <row r="41">
      <c r="A41" s="2">
        <v>6.0</v>
      </c>
      <c r="B41" s="10">
        <f t="shared" si="23"/>
        <v>0.006260278851</v>
      </c>
      <c r="C41" s="10">
        <f t="shared" si="24"/>
        <v>0.005947264908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18</v>
      </c>
      <c r="C1" s="1" t="s">
        <v>19</v>
      </c>
      <c r="D1" s="2" t="s">
        <v>2</v>
      </c>
      <c r="G1" s="2" t="str">
        <f t="shared" ref="G1:H1" si="1">B1</f>
        <v>brest</v>
      </c>
      <c r="H1" s="2" t="str">
        <f t="shared" si="1"/>
        <v>lens</v>
      </c>
      <c r="J1" s="3" t="str">
        <f>G1</f>
        <v>brest</v>
      </c>
      <c r="K1" s="3" t="s">
        <v>3</v>
      </c>
      <c r="L1" s="3" t="s">
        <v>4</v>
      </c>
      <c r="M1" s="3" t="s">
        <v>5</v>
      </c>
      <c r="N1" s="3" t="str">
        <f>H1</f>
        <v>lens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0.386409376684545</v>
      </c>
      <c r="C2" s="1">
        <v>0.1205127165601505</v>
      </c>
      <c r="D2" s="2" t="s">
        <v>7</v>
      </c>
      <c r="E2" s="1">
        <v>2.5</v>
      </c>
      <c r="F2" s="2" t="s">
        <v>8</v>
      </c>
      <c r="G2" s="1">
        <v>6.46</v>
      </c>
      <c r="H2" s="1">
        <v>1.605</v>
      </c>
      <c r="J2" s="3"/>
      <c r="K2" s="4"/>
      <c r="L2" s="5">
        <v>2.4</v>
      </c>
      <c r="M2" s="6">
        <f t="shared" ref="M2:M11" si="3">IFERROR(-ln(1-(1/L2)),0)</f>
        <v>0.5389965007</v>
      </c>
      <c r="N2" s="3"/>
      <c r="O2" s="4"/>
      <c r="P2" s="5">
        <v>2.25</v>
      </c>
      <c r="Q2" s="6">
        <f t="shared" ref="Q2:Q11" si="4">IFERROR(-ln(1-(1/P2)),0)</f>
        <v>0.5877866649</v>
      </c>
    </row>
    <row r="3">
      <c r="A3" s="2" t="s">
        <v>5</v>
      </c>
      <c r="B3" s="7">
        <f t="shared" ref="B3:C3" si="2">-ln(B2)</f>
        <v>0.9508579102</v>
      </c>
      <c r="C3" s="7">
        <f t="shared" si="2"/>
        <v>2.116</v>
      </c>
      <c r="D3" s="2" t="s">
        <v>9</v>
      </c>
      <c r="E3" s="1">
        <v>1.69</v>
      </c>
      <c r="F3" s="2" t="s">
        <v>10</v>
      </c>
      <c r="G3" s="8">
        <f>1/(1/G2+SUM(D37:H40))</f>
        <v>5.77712991</v>
      </c>
      <c r="H3" s="8">
        <f>1/(1/H2+SUM(M37:Q40))</f>
        <v>1.56966337</v>
      </c>
      <c r="J3" s="3"/>
      <c r="K3" s="4"/>
      <c r="L3" s="5">
        <v>3.75</v>
      </c>
      <c r="M3" s="6">
        <f t="shared" si="3"/>
        <v>0.3101549283</v>
      </c>
      <c r="N3" s="3"/>
      <c r="O3" s="4"/>
      <c r="P3" s="5">
        <v>2.6</v>
      </c>
      <c r="Q3" s="6">
        <f t="shared" si="4"/>
        <v>0.4855078158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3.0</v>
      </c>
      <c r="Q4" s="6">
        <f t="shared" si="4"/>
        <v>0.4054651081</v>
      </c>
    </row>
    <row r="5">
      <c r="A5" s="2">
        <v>1.0</v>
      </c>
      <c r="B5" s="7">
        <f t="shared" ref="B5:C5" si="5">((B$3^$A5)/FACT($A5))*EXP(-B$3)</f>
        <v>0.3674204124</v>
      </c>
      <c r="C5" s="7">
        <f t="shared" si="5"/>
        <v>0.2550049082</v>
      </c>
      <c r="D5" s="2">
        <v>1.5</v>
      </c>
      <c r="E5" s="7">
        <f>1/(B2*(C2+C5)+B5*C2)</f>
        <v>5.280322741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5.0</v>
      </c>
      <c r="Q5" s="6">
        <f t="shared" si="4"/>
        <v>0.2231435513</v>
      </c>
    </row>
    <row r="6">
      <c r="A6" s="2">
        <v>2.0</v>
      </c>
      <c r="B6" s="7">
        <f t="shared" ref="B6:C6" si="6">((B$3^$A6)/FACT($A6))*EXP(-B$3)</f>
        <v>0.1746823027</v>
      </c>
      <c r="C6" s="7">
        <f t="shared" si="6"/>
        <v>0.2697951929</v>
      </c>
      <c r="D6" s="2">
        <v>2.5</v>
      </c>
      <c r="E6" s="7">
        <f>1/(B2*(C2+C5+C6)+B5*(C2+C5)+B6*C2)</f>
        <v>2.448704519</v>
      </c>
      <c r="F6" s="2" t="s">
        <v>12</v>
      </c>
      <c r="J6" s="3"/>
      <c r="K6" s="4"/>
      <c r="L6" s="5">
        <v>3.5</v>
      </c>
      <c r="M6" s="6">
        <f t="shared" si="3"/>
        <v>0.3364722366</v>
      </c>
      <c r="N6" s="3"/>
      <c r="O6" s="4"/>
      <c r="P6" s="5">
        <v>7.0</v>
      </c>
      <c r="Q6" s="6">
        <f t="shared" si="4"/>
        <v>0.1541506798</v>
      </c>
    </row>
    <row r="7">
      <c r="A7" s="2">
        <v>3.0</v>
      </c>
      <c r="B7" s="7">
        <f t="shared" ref="B7:C7" si="7">((B$3^$A7)/FACT($A7))*EXP(-B$3)</f>
        <v>0.05536601644</v>
      </c>
      <c r="C7" s="7">
        <f t="shared" si="7"/>
        <v>0.1902955427</v>
      </c>
      <c r="D7" s="2">
        <v>3.5</v>
      </c>
      <c r="E7" s="7">
        <f>1/(B2*(C2+C5+C6+C7)+B5*(C2+C5+C6)+B6*(C2+C5)+B7*C2)</f>
        <v>1.581636317</v>
      </c>
      <c r="F7" s="7" t="str">
        <f>B1</f>
        <v>brest</v>
      </c>
      <c r="G7" s="2" t="s">
        <v>13</v>
      </c>
      <c r="H7" s="7" t="str">
        <f>C1</f>
        <v>lens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9.0</v>
      </c>
      <c r="Q7" s="6">
        <f t="shared" si="4"/>
        <v>0.1177830357</v>
      </c>
    </row>
    <row r="8">
      <c r="A8" s="2">
        <v>4.0</v>
      </c>
      <c r="B8" s="7">
        <f t="shared" ref="B8:C8" si="8">((B$3^$A8)/FACT($A8))*EXP(-B$3)</f>
        <v>0.01316130367</v>
      </c>
      <c r="C8" s="7">
        <f t="shared" si="8"/>
        <v>0.1006663421</v>
      </c>
      <c r="D8" s="2">
        <v>4.5</v>
      </c>
      <c r="E8" s="7">
        <f>1/(B2*(C2+C5+C6+C7+C8)+B5*(C2+C5+C6+C7)+B6*(C2+C5+C6)+B7*(C2+C5)+B8*C2)</f>
        <v>1.243925537</v>
      </c>
      <c r="F8" s="7">
        <f>B5*C2+B6*(C5+C2)+B7*(C6+C5+C2)+B8*(C7+C6+C5+C2)+B9*(C8+C7+C6+C5+C2)+B10*(C9+C8+C7+C6+C5+C2)+B11*(C10+C9+C8+C7+C6+C5+C2)+B12*(C11+C10+C9+C8+C7+C6+C5+C2)</f>
        <v>0.1593928364</v>
      </c>
      <c r="G8" s="7">
        <f>B2*C2+B5*C5+B6*C6+B7*C7+B8*C8+B9*C9+B10*C10+B11*C11+B12*C12</f>
        <v>0.1993633448</v>
      </c>
      <c r="H8" s="7">
        <f>C5*B2+C6*(B5+B2)+C7*(B6+B5+B2)+C8*(B7+B6+B5+B2)+C9*(B8+B7+B6+B5+B2)+C10*(B9+B8+B7+B6+B5+B2)+C11*(B10+B9+B7+B8+B6+B5+B2)</f>
        <v>0.6396857155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10.0</v>
      </c>
      <c r="Q8" s="6">
        <f t="shared" si="4"/>
        <v>0.1053605157</v>
      </c>
    </row>
    <row r="9">
      <c r="A9" s="2">
        <v>5.0</v>
      </c>
      <c r="B9" s="7">
        <f t="shared" ref="B9:C9" si="9">((B$3^$A9)/FACT($A9))*EXP(-B$3)</f>
        <v>0.002502905941</v>
      </c>
      <c r="C9" s="7">
        <f t="shared" si="9"/>
        <v>0.04260199598</v>
      </c>
      <c r="F9" s="9">
        <f t="shared" ref="F9:H9" si="10">1/F8</f>
        <v>6.273807672</v>
      </c>
      <c r="G9" s="9">
        <f t="shared" si="10"/>
        <v>5.015967207</v>
      </c>
      <c r="H9" s="9">
        <f t="shared" si="10"/>
        <v>1.563267673</v>
      </c>
      <c r="J9" s="3"/>
      <c r="K9" s="4"/>
      <c r="L9" s="5">
        <v>5.0</v>
      </c>
      <c r="M9" s="6">
        <f t="shared" si="3"/>
        <v>0.2231435513</v>
      </c>
      <c r="N9" s="3"/>
      <c r="O9" s="4"/>
      <c r="P9" s="5">
        <v>10.0</v>
      </c>
      <c r="Q9" s="6">
        <f t="shared" si="4"/>
        <v>0.1053605157</v>
      </c>
    </row>
    <row r="10">
      <c r="A10" s="2">
        <v>6.0</v>
      </c>
      <c r="B10" s="7">
        <f t="shared" ref="B10:C10" si="11">((B$3^$A10)/FACT($A10))*EXP(-B$3)</f>
        <v>0.0003966513187</v>
      </c>
      <c r="C10" s="7">
        <f t="shared" si="11"/>
        <v>0.01502430392</v>
      </c>
      <c r="J10" s="3"/>
      <c r="K10" s="4"/>
      <c r="L10" s="5">
        <v>12.0</v>
      </c>
      <c r="M10" s="6">
        <f t="shared" si="3"/>
        <v>0.08701137699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0.00005387986342</v>
      </c>
      <c r="C11" s="7">
        <f t="shared" si="12"/>
        <v>0.004541632441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25.0</v>
      </c>
      <c r="Q11" s="6">
        <f t="shared" si="4"/>
        <v>0.04082199452</v>
      </c>
    </row>
    <row r="12">
      <c r="A12" s="2">
        <v>8.0</v>
      </c>
      <c r="B12" s="7">
        <f t="shared" ref="B12:C12" si="13">((B$3^$A12)/FACT($A12))*EXP(-B$3)</f>
        <v>0.000006404011792</v>
      </c>
      <c r="C12" s="7">
        <f t="shared" si="13"/>
        <v>0.001201261781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lens</v>
      </c>
      <c r="J13" s="3"/>
      <c r="K13" s="3"/>
      <c r="L13" s="3" t="s">
        <v>14</v>
      </c>
      <c r="M13" s="6">
        <f>SUM(M2:M11)</f>
        <v>2.209128482</v>
      </c>
      <c r="N13" s="3"/>
      <c r="O13" s="3"/>
      <c r="P13" s="3" t="s">
        <v>14</v>
      </c>
      <c r="Q13" s="6">
        <f>SUM(Q2:Q11)</f>
        <v>2.294372753</v>
      </c>
    </row>
    <row r="14">
      <c r="A14" s="7" t="str">
        <f>B1</f>
        <v>brest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1.829980682</v>
      </c>
      <c r="N14" s="3"/>
      <c r="O14" s="3"/>
      <c r="P14" s="3" t="s">
        <v>15</v>
      </c>
      <c r="Q14" s="6">
        <f>SUM(Q2:Q8)</f>
        <v>2.079197371</v>
      </c>
    </row>
    <row r="15">
      <c r="A15" s="2">
        <v>0.0</v>
      </c>
      <c r="B15" s="7">
        <f>B2*$C$2</f>
        <v>0.04656724369</v>
      </c>
      <c r="C15" s="7">
        <f>C5*B2</f>
        <v>0.09853628765</v>
      </c>
      <c r="D15" s="7">
        <f>C6*B2</f>
        <v>0.1042513923</v>
      </c>
      <c r="E15" s="7">
        <f>C7*B2</f>
        <v>0.07353198206</v>
      </c>
      <c r="F15" s="7">
        <f>C8*B2</f>
        <v>0.03889841851</v>
      </c>
      <c r="G15" s="7">
        <f>C9*B2</f>
        <v>0.01646181071</v>
      </c>
      <c r="H15" s="7">
        <f>$C$10*B2</f>
        <v>0.005805531911</v>
      </c>
    </row>
    <row r="16">
      <c r="A16" s="2">
        <v>1.0</v>
      </c>
      <c r="B16" s="7">
        <f t="shared" ref="B16:B21" si="14">B5*$C$2</f>
        <v>0.04427883202</v>
      </c>
      <c r="C16" s="7">
        <f t="shared" ref="C16:C21" si="15">$C$5*B5</f>
        <v>0.09369400854</v>
      </c>
      <c r="D16" s="7">
        <f t="shared" ref="D16:D21" si="16">$C$6*B5</f>
        <v>0.09912826104</v>
      </c>
      <c r="E16" s="7">
        <f t="shared" ref="E16:E21" si="17">$C$7*B5</f>
        <v>0.06991846679</v>
      </c>
      <c r="F16" s="7">
        <f t="shared" ref="F16:F21" si="18">$C$8*B5</f>
        <v>0.03698686893</v>
      </c>
      <c r="G16" s="7">
        <f t="shared" ref="G16:G21" si="19">$C$9*B5</f>
        <v>0.01565284293</v>
      </c>
      <c r="H16" s="7">
        <f t="shared" ref="H16:H21" si="20">$C$10*B5</f>
        <v>0.00552023594</v>
      </c>
    </row>
    <row r="17">
      <c r="A17" s="2">
        <v>2.0</v>
      </c>
      <c r="B17" s="7">
        <f t="shared" si="14"/>
        <v>0.02105143884</v>
      </c>
      <c r="C17" s="7">
        <f t="shared" si="15"/>
        <v>0.04454484458</v>
      </c>
      <c r="D17" s="7">
        <f t="shared" si="16"/>
        <v>0.04712844557</v>
      </c>
      <c r="E17" s="7">
        <f t="shared" si="17"/>
        <v>0.03324126361</v>
      </c>
      <c r="F17" s="7">
        <f t="shared" si="18"/>
        <v>0.01758462845</v>
      </c>
      <c r="G17" s="7">
        <f t="shared" si="19"/>
        <v>0.007441814759</v>
      </c>
      <c r="H17" s="7">
        <f t="shared" si="20"/>
        <v>0.002624480005</v>
      </c>
    </row>
    <row r="18">
      <c r="A18" s="2">
        <v>3.0</v>
      </c>
      <c r="B18" s="7">
        <f t="shared" si="14"/>
        <v>0.006672309046</v>
      </c>
      <c r="C18" s="7">
        <f t="shared" si="15"/>
        <v>0.01411860594</v>
      </c>
      <c r="D18" s="7">
        <f t="shared" si="16"/>
        <v>0.01493748509</v>
      </c>
      <c r="E18" s="7">
        <f t="shared" si="17"/>
        <v>0.01053590615</v>
      </c>
      <c r="F18" s="7">
        <f t="shared" si="18"/>
        <v>0.005573494352</v>
      </c>
      <c r="G18" s="7">
        <f t="shared" si="19"/>
        <v>0.00235870281</v>
      </c>
      <c r="H18" s="7">
        <f t="shared" si="20"/>
        <v>0.0008318358576</v>
      </c>
    </row>
    <row r="19">
      <c r="A19" s="2">
        <v>4.0</v>
      </c>
      <c r="B19" s="7">
        <f t="shared" si="14"/>
        <v>0.001586104459</v>
      </c>
      <c r="C19" s="7">
        <f t="shared" si="15"/>
        <v>0.003356197035</v>
      </c>
      <c r="D19" s="7">
        <f t="shared" si="16"/>
        <v>0.003550856463</v>
      </c>
      <c r="E19" s="7">
        <f t="shared" si="17"/>
        <v>0.002504537425</v>
      </c>
      <c r="F19" s="7">
        <f t="shared" si="18"/>
        <v>0.001324900298</v>
      </c>
      <c r="G19" s="7">
        <f t="shared" si="19"/>
        <v>0.0005606978061</v>
      </c>
      <c r="H19" s="7">
        <f t="shared" si="20"/>
        <v>0.0001977394263</v>
      </c>
    </row>
    <row r="20">
      <c r="A20" s="2">
        <v>5.0</v>
      </c>
      <c r="B20" s="7">
        <f t="shared" si="14"/>
        <v>0.0003016319942</v>
      </c>
      <c r="C20" s="7">
        <f t="shared" si="15"/>
        <v>0.0006382532998</v>
      </c>
      <c r="D20" s="7">
        <f t="shared" si="16"/>
        <v>0.0006752719911</v>
      </c>
      <c r="E20" s="7">
        <f t="shared" si="17"/>
        <v>0.0004762918444</v>
      </c>
      <c r="F20" s="7">
        <f t="shared" si="18"/>
        <v>0.0002519583857</v>
      </c>
      <c r="G20" s="7">
        <f t="shared" si="19"/>
        <v>0.0001066287888</v>
      </c>
      <c r="H20" s="7">
        <f t="shared" si="20"/>
        <v>0.00003760441953</v>
      </c>
    </row>
    <row r="21">
      <c r="A21" s="2">
        <v>6.0</v>
      </c>
      <c r="B21" s="7">
        <f t="shared" si="14"/>
        <v>0.00004780152794</v>
      </c>
      <c r="C21" s="7">
        <f t="shared" si="15"/>
        <v>0.0001011480331</v>
      </c>
      <c r="D21" s="7">
        <f t="shared" si="16"/>
        <v>0.000107014619</v>
      </c>
      <c r="E21" s="7">
        <f t="shared" si="17"/>
        <v>0.00007548097797</v>
      </c>
      <c r="F21" s="7">
        <f t="shared" si="18"/>
        <v>0.00003992943735</v>
      </c>
      <c r="G21" s="7">
        <f t="shared" si="19"/>
        <v>0.00001689813788</v>
      </c>
      <c r="H21" s="7">
        <f t="shared" si="20"/>
        <v>0.000005959409961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0.0000007717648579</v>
      </c>
      <c r="C25" s="10">
        <f>C15*B12</f>
        <v>0.000000631027548</v>
      </c>
      <c r="D25" s="10">
        <f>C16*B12</f>
        <v>0.0000006000175355</v>
      </c>
      <c r="E25" s="10">
        <f>C17*B12</f>
        <v>0.0000002852657099</v>
      </c>
      <c r="F25" s="10">
        <f>C18*B12</f>
        <v>0.00000009041571893</v>
      </c>
      <c r="G25" s="10">
        <f>C19*B12</f>
        <v>0.00000002149312539</v>
      </c>
      <c r="H25" s="10">
        <f>$C$10*B12</f>
        <v>0.00000009621581944</v>
      </c>
    </row>
    <row r="26">
      <c r="A26" s="2">
        <v>1.0</v>
      </c>
      <c r="B26" s="10">
        <f t="shared" ref="B26:B31" si="21">B15*$C$2</f>
        <v>0.00561194504</v>
      </c>
      <c r="C26" s="10">
        <f t="shared" ref="C26:C31" si="22">$C$5*B15</f>
        <v>0.0118748757</v>
      </c>
      <c r="D26" s="10">
        <f>$C$6*B15</f>
        <v>0.01256361849</v>
      </c>
      <c r="E26" s="10">
        <f>$C$7*B15</f>
        <v>0.008861538912</v>
      </c>
      <c r="F26" s="10">
        <f>$C$8*B15</f>
        <v>0.004687754084</v>
      </c>
      <c r="G26" s="10">
        <f>$C$9*B15</f>
        <v>0.001983857528</v>
      </c>
      <c r="H26" s="10">
        <f>$C$10*B15</f>
        <v>0.0006996404217</v>
      </c>
    </row>
    <row r="27">
      <c r="A27" s="2">
        <v>2.0</v>
      </c>
      <c r="B27" s="10">
        <f t="shared" si="21"/>
        <v>0.005336162332</v>
      </c>
      <c r="C27" s="10">
        <f t="shared" si="22"/>
        <v>0.0112913195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0.002536966082</v>
      </c>
      <c r="C28" s="10">
        <f t="shared" si="22"/>
        <v>0.005368220229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0.0008040980889</v>
      </c>
      <c r="C29" s="10">
        <f t="shared" si="22"/>
        <v>0.001701471556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0.0001911457571</v>
      </c>
      <c r="C30" s="10">
        <f t="shared" si="22"/>
        <v>0.000404464422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0.00003635049102</v>
      </c>
      <c r="C31" s="10">
        <f t="shared" si="22"/>
        <v>0.00007691763901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brest</v>
      </c>
      <c r="J33" s="2" t="s">
        <v>17</v>
      </c>
      <c r="K33" s="7" t="str">
        <f>B13</f>
        <v>lens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0.00000009300747957</v>
      </c>
      <c r="C36" s="10">
        <f t="shared" ref="C36:C41" si="24">$C$5*B25</f>
        <v>0.0000001968038268</v>
      </c>
      <c r="D36" s="10">
        <f>$C$6*B25</f>
        <v>0.0000002082184487</v>
      </c>
      <c r="E36" s="10">
        <f>$C$7*B25</f>
        <v>0.0000001468634125</v>
      </c>
      <c r="F36" s="10">
        <f>$C$8*B25</f>
        <v>0.00000007769074521</v>
      </c>
      <c r="G36" s="10">
        <f>$C$9*B25</f>
        <v>0.00000003287872337</v>
      </c>
      <c r="H36" s="10">
        <f>$C$10*B25</f>
        <v>0.00000001159522978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0.0006763107419</v>
      </c>
      <c r="C37" s="10">
        <f t="shared" si="24"/>
        <v>0.00143107353</v>
      </c>
      <c r="D37" s="7">
        <f t="shared" ref="D37:H37" si="25">D27*D17</f>
        <v>0.007854740928</v>
      </c>
      <c r="E37" s="7">
        <f t="shared" si="25"/>
        <v>0.003324126361</v>
      </c>
      <c r="F37" s="7">
        <f t="shared" si="25"/>
        <v>0.001172308563</v>
      </c>
      <c r="G37" s="7">
        <f t="shared" si="25"/>
        <v>0.0003543721314</v>
      </c>
      <c r="H37" s="7">
        <f t="shared" si="25"/>
        <v>0.00009373142875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0.007854740928</v>
      </c>
      <c r="N37" s="7">
        <f>E27*D18</f>
        <v>0.001493748509</v>
      </c>
      <c r="O37" s="7">
        <f>F27*D19</f>
        <v>0.0002367237642</v>
      </c>
      <c r="P37" s="7">
        <f>G27*D20</f>
        <v>0.0000321558091</v>
      </c>
      <c r="Q37" s="7">
        <f>H27*D21</f>
        <v>0.00000382195068</v>
      </c>
    </row>
    <row r="38">
      <c r="A38" s="2">
        <v>3.0</v>
      </c>
      <c r="B38" s="10">
        <f t="shared" si="23"/>
        <v>0.0006430754187</v>
      </c>
      <c r="C38" s="10">
        <f t="shared" si="24"/>
        <v>0.001360747586</v>
      </c>
      <c r="D38" s="10"/>
      <c r="E38" s="7">
        <f t="shared" ref="E38:H38" si="28">E28*E18</f>
        <v>0.003160771844</v>
      </c>
      <c r="F38" s="7">
        <f t="shared" si="28"/>
        <v>0.00111469887</v>
      </c>
      <c r="G38" s="7">
        <f t="shared" si="28"/>
        <v>0.0003369575443</v>
      </c>
      <c r="H38" s="7">
        <f t="shared" si="28"/>
        <v>0.00008912527046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0.003160771844</v>
      </c>
      <c r="O38" s="7">
        <f>F28*E19</f>
        <v>0.0005009074851</v>
      </c>
      <c r="P38" s="7">
        <f>G28*E20</f>
        <v>0.00006804169206</v>
      </c>
      <c r="Q38" s="7">
        <f>H28*E21</f>
        <v>0.000008087247639</v>
      </c>
    </row>
    <row r="39">
      <c r="A39" s="2">
        <v>4.0</v>
      </c>
      <c r="B39" s="10">
        <f t="shared" si="23"/>
        <v>0.0003057366743</v>
      </c>
      <c r="C39" s="10">
        <f t="shared" si="24"/>
        <v>0.0006469388029</v>
      </c>
      <c r="D39" s="10"/>
      <c r="E39" s="10"/>
      <c r="F39" s="7">
        <f t="shared" ref="F39:H39" si="29">F29*F19</f>
        <v>0.0005299601192</v>
      </c>
      <c r="G39" s="7">
        <f t="shared" si="29"/>
        <v>0.0001601993732</v>
      </c>
      <c r="H39" s="7">
        <f t="shared" si="29"/>
        <v>0.0000423727342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0.0005299601192</v>
      </c>
      <c r="P39" s="7">
        <f>G29*F20</f>
        <v>0.0000719881102</v>
      </c>
      <c r="Q39" s="7">
        <f>H29*F21</f>
        <v>0.000008556308003</v>
      </c>
    </row>
    <row r="40">
      <c r="A40" s="2">
        <v>5.0</v>
      </c>
      <c r="B40" s="10">
        <f t="shared" si="23"/>
        <v>0.00009690404507</v>
      </c>
      <c r="C40" s="10">
        <f t="shared" si="24"/>
        <v>0.0002050489594</v>
      </c>
      <c r="D40" s="10"/>
      <c r="E40" s="10"/>
      <c r="F40" s="10"/>
      <c r="G40" s="7">
        <f t="shared" ref="G40:H40" si="30">G30*G20</f>
        <v>0.00005077561373</v>
      </c>
      <c r="H40" s="7">
        <f t="shared" si="30"/>
        <v>0.00001343014983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0.00005077561373</v>
      </c>
      <c r="Q40" s="7">
        <f>H30*G21</f>
        <v>0.000006035049244</v>
      </c>
    </row>
    <row r="41">
      <c r="A41" s="2">
        <v>6.0</v>
      </c>
      <c r="B41" s="10">
        <f t="shared" si="23"/>
        <v>0.00002303549445</v>
      </c>
      <c r="C41" s="10">
        <f t="shared" si="24"/>
        <v>0.00004874310625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20</v>
      </c>
      <c r="C1" s="1" t="s">
        <v>21</v>
      </c>
      <c r="D1" s="2" t="s">
        <v>2</v>
      </c>
      <c r="G1" s="2" t="str">
        <f t="shared" ref="G1:H1" si="1">B1</f>
        <v>napoli</v>
      </c>
      <c r="H1" s="2" t="str">
        <f t="shared" si="1"/>
        <v>cremonese</v>
      </c>
      <c r="J1" s="3" t="str">
        <f>G1</f>
        <v>napoli</v>
      </c>
      <c r="K1" s="3" t="s">
        <v>3</v>
      </c>
      <c r="L1" s="3" t="s">
        <v>4</v>
      </c>
      <c r="M1" s="3" t="s">
        <v>5</v>
      </c>
      <c r="N1" s="3" t="str">
        <f>H1</f>
        <v>cremonese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0.12456677891133446</v>
      </c>
      <c r="C2" s="1">
        <v>0.5368696238914593</v>
      </c>
      <c r="D2" s="2" t="s">
        <v>7</v>
      </c>
      <c r="E2" s="1">
        <v>2.5</v>
      </c>
      <c r="F2" s="2" t="s">
        <v>8</v>
      </c>
      <c r="G2" s="1">
        <v>1.42</v>
      </c>
      <c r="H2" s="1">
        <v>10.3</v>
      </c>
      <c r="J2" s="3"/>
      <c r="K2" s="4"/>
      <c r="L2" s="5">
        <v>3.5</v>
      </c>
      <c r="M2" s="6">
        <f t="shared" ref="M2:M11" si="3">IFERROR(-ln(1-(1/L2)),0)</f>
        <v>0.3364722366</v>
      </c>
      <c r="N2" s="3"/>
      <c r="O2" s="4"/>
      <c r="P2" s="5">
        <v>2.0</v>
      </c>
      <c r="Q2" s="6">
        <f t="shared" ref="Q2:Q11" si="4">IFERROR(-ln(1-(1/P2)),0)</f>
        <v>0.6931471806</v>
      </c>
    </row>
    <row r="3">
      <c r="A3" s="2" t="s">
        <v>5</v>
      </c>
      <c r="B3" s="7">
        <f t="shared" ref="B3:C3" si="2">-ln(B2)</f>
        <v>2.08291333</v>
      </c>
      <c r="C3" s="7">
        <f t="shared" si="2"/>
        <v>0.622</v>
      </c>
      <c r="D3" s="2" t="s">
        <v>9</v>
      </c>
      <c r="E3" s="1">
        <v>1.97</v>
      </c>
      <c r="F3" s="2" t="s">
        <v>10</v>
      </c>
      <c r="G3" s="8">
        <f>1/(1/G2+SUM(D37:H40))</f>
        <v>1.406366671</v>
      </c>
      <c r="H3" s="8">
        <f>1/(1/H2+SUM(M37:Q40))</f>
        <v>9.378789849</v>
      </c>
      <c r="J3" s="3"/>
      <c r="K3" s="4"/>
      <c r="L3" s="5">
        <v>5.0</v>
      </c>
      <c r="M3" s="6">
        <f t="shared" si="3"/>
        <v>0.2231435513</v>
      </c>
      <c r="N3" s="3"/>
      <c r="O3" s="4"/>
      <c r="P3" s="5">
        <v>1.9</v>
      </c>
      <c r="Q3" s="6">
        <f t="shared" si="4"/>
        <v>0.7472144018</v>
      </c>
    </row>
    <row r="4">
      <c r="A4" s="2" t="s">
        <v>11</v>
      </c>
      <c r="J4" s="3"/>
      <c r="K4" s="4"/>
      <c r="L4" s="5">
        <v>5.5</v>
      </c>
      <c r="M4" s="6">
        <f t="shared" si="3"/>
        <v>0.2006706955</v>
      </c>
      <c r="N4" s="3"/>
      <c r="O4" s="4"/>
      <c r="P4" s="5">
        <v>2.25</v>
      </c>
      <c r="Q4" s="6">
        <f t="shared" si="4"/>
        <v>0.5877866649</v>
      </c>
    </row>
    <row r="5">
      <c r="A5" s="2">
        <v>1.0</v>
      </c>
      <c r="B5" s="7">
        <f t="shared" ref="B5:C5" si="5">((B$3^$A5)/FACT($A5))*EXP(-B$3)</f>
        <v>0.2594618043</v>
      </c>
      <c r="C5" s="7">
        <f t="shared" si="5"/>
        <v>0.3339329061</v>
      </c>
      <c r="D5" s="2">
        <v>1.5</v>
      </c>
      <c r="E5" s="7">
        <f>1/(B2*(C2+C5)+B5*C2)</f>
        <v>4.035997424</v>
      </c>
      <c r="J5" s="3"/>
      <c r="K5" s="4"/>
      <c r="L5" s="5">
        <v>6.0</v>
      </c>
      <c r="M5" s="6">
        <f t="shared" si="3"/>
        <v>0.1823215568</v>
      </c>
      <c r="N5" s="3"/>
      <c r="O5" s="4"/>
      <c r="P5" s="5">
        <v>3.0</v>
      </c>
      <c r="Q5" s="6">
        <f t="shared" si="4"/>
        <v>0.4054651081</v>
      </c>
    </row>
    <row r="6">
      <c r="A6" s="2">
        <v>2.0</v>
      </c>
      <c r="B6" s="7">
        <f t="shared" ref="B6:C6" si="6">((B$3^$A6)/FACT($A6))*EXP(-B$3)</f>
        <v>0.2702182254</v>
      </c>
      <c r="C6" s="7">
        <f t="shared" si="6"/>
        <v>0.1038531338</v>
      </c>
      <c r="D6" s="2">
        <v>2.5</v>
      </c>
      <c r="E6" s="7">
        <f>1/(B2*(C2+C5+C6)+B5*(C2+C5)+B6*C2)</f>
        <v>2.030779843</v>
      </c>
      <c r="F6" s="2" t="s">
        <v>12</v>
      </c>
      <c r="J6" s="3"/>
      <c r="K6" s="4"/>
      <c r="L6" s="5">
        <v>7.0</v>
      </c>
      <c r="M6" s="6">
        <f t="shared" si="3"/>
        <v>0.1541506798</v>
      </c>
      <c r="N6" s="3"/>
      <c r="O6" s="4"/>
      <c r="P6" s="5">
        <v>8.0</v>
      </c>
      <c r="Q6" s="6">
        <f t="shared" si="4"/>
        <v>0.1335313926</v>
      </c>
    </row>
    <row r="7">
      <c r="A7" s="2">
        <v>3.0</v>
      </c>
      <c r="B7" s="7">
        <f t="shared" ref="B7:C7" si="7">((B$3^$A7)/FACT($A7))*EXP(-B$3)</f>
        <v>0.1876137146</v>
      </c>
      <c r="C7" s="7">
        <f t="shared" si="7"/>
        <v>0.0215322164</v>
      </c>
      <c r="D7" s="2">
        <v>3.5</v>
      </c>
      <c r="E7" s="7">
        <f>1/(B2*(C2+C5+C6+C7)+B5*(C2+C5+C6)+B6*(C2+C5)+B7*C2)</f>
        <v>1.402507527</v>
      </c>
      <c r="F7" s="7" t="str">
        <f>B1</f>
        <v>napoli</v>
      </c>
      <c r="G7" s="2" t="s">
        <v>13</v>
      </c>
      <c r="H7" s="7" t="str">
        <f>C1</f>
        <v>cremonese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8.0</v>
      </c>
      <c r="Q7" s="6">
        <f t="shared" si="4"/>
        <v>0.1335313926</v>
      </c>
    </row>
    <row r="8">
      <c r="A8" s="2">
        <v>4.0</v>
      </c>
      <c r="B8" s="7">
        <f t="shared" ref="B8:C8" si="8">((B$3^$A8)/FACT($A8))*EXP(-B$3)</f>
        <v>0.09769577674</v>
      </c>
      <c r="C8" s="7">
        <f t="shared" si="8"/>
        <v>0.003348259651</v>
      </c>
      <c r="D8" s="2">
        <v>4.5</v>
      </c>
      <c r="E8" s="7">
        <f>1/(B2*(C2+C5+C6+C7+C8)+B5*(C2+C5+C6+C7)+B6*(C2+C5+C6)+B7*(C2+C5)+B8*C2)</f>
        <v>1.159856237</v>
      </c>
      <c r="F8" s="7">
        <f>B5*C2+B6*(C5+C2)+B7*(C6+C5+C2)+B8*(C7+C6+C5+C2)+B9*(C8+C7+C6+C5+C2)+B10*(C9+C8+C7+C6+C5+C2)+B11*(C10+C9+C8+C7+C6+C5+C2)+B12*(C11+C10+C9+C8+C7+C6+C5+C2)</f>
        <v>0.7148919856</v>
      </c>
      <c r="G8" s="7">
        <f>B2*C2+B5*C5+B6*C6+B7*C7+B8*C8+B9*C9+B10*C10+B11*C11+B12*C12</f>
        <v>0.1859663918</v>
      </c>
      <c r="H8" s="7">
        <f>C5*B2+C6*(B5+B2)+C7*(B6+B5+B2)+C8*(B7+B6+B5+B2)+C9*(B8+B7+B6+B5+B2)+C10*(B9+B8+B7+B6+B5+B2)+C11*(B10+B9+B7+B8+B6+B5+B2)</f>
        <v>0.09882315935</v>
      </c>
      <c r="J8" s="3"/>
      <c r="K8" s="4"/>
      <c r="L8" s="5">
        <v>12.0</v>
      </c>
      <c r="M8" s="6">
        <f t="shared" si="3"/>
        <v>0.08701137699</v>
      </c>
      <c r="N8" s="3"/>
      <c r="O8" s="4"/>
      <c r="P8" s="5">
        <v>8.0</v>
      </c>
      <c r="Q8" s="6">
        <f t="shared" si="4"/>
        <v>0.1335313926</v>
      </c>
    </row>
    <row r="9">
      <c r="A9" s="2">
        <v>5.0</v>
      </c>
      <c r="B9" s="7">
        <f t="shared" ref="B9:C9" si="9">((B$3^$A9)/FACT($A9))*EXP(-B$3)</f>
        <v>0.04069836713</v>
      </c>
      <c r="C9" s="7">
        <f t="shared" si="9"/>
        <v>0.0004165235006</v>
      </c>
      <c r="F9" s="9">
        <f t="shared" ref="F9:H9" si="10">1/F8</f>
        <v>1.398812716</v>
      </c>
      <c r="G9" s="9">
        <f t="shared" si="10"/>
        <v>5.377315708</v>
      </c>
      <c r="H9" s="9">
        <f t="shared" si="10"/>
        <v>10.11908551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8.0</v>
      </c>
      <c r="Q9" s="6">
        <f t="shared" si="4"/>
        <v>0.1335313926</v>
      </c>
    </row>
    <row r="10">
      <c r="A10" s="2">
        <v>6.0</v>
      </c>
      <c r="B10" s="7">
        <f t="shared" ref="B10:C10" si="11">((B$3^$A10)/FACT($A10))*EXP(-B$3)</f>
        <v>0.01412852857</v>
      </c>
      <c r="C10" s="7">
        <f t="shared" si="11"/>
        <v>0.00004317960289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10.0</v>
      </c>
      <c r="Q10" s="6">
        <f t="shared" si="4"/>
        <v>0.1053605157</v>
      </c>
    </row>
    <row r="11">
      <c r="A11" s="2">
        <v>7.0</v>
      </c>
      <c r="B11" s="7">
        <f t="shared" ref="B11:C11" si="12">((B$3^$A11)/FACT($A11))*EXP(-B$3)</f>
        <v>0.004204071499</v>
      </c>
      <c r="C11" s="7">
        <f t="shared" si="12"/>
        <v>0.000003836816143</v>
      </c>
      <c r="J11" s="3"/>
      <c r="K11" s="4"/>
      <c r="L11" s="5">
        <v>20.0</v>
      </c>
      <c r="M11" s="6">
        <f t="shared" si="3"/>
        <v>0.05129329439</v>
      </c>
      <c r="N11" s="3"/>
      <c r="O11" s="4"/>
      <c r="P11" s="5">
        <v>10.0</v>
      </c>
      <c r="Q11" s="6">
        <f t="shared" si="4"/>
        <v>0.1053605157</v>
      </c>
    </row>
    <row r="12">
      <c r="A12" s="2">
        <v>8.0</v>
      </c>
      <c r="B12" s="7">
        <f t="shared" ref="B12:C12" si="13">((B$3^$A12)/FACT($A12))*EXP(-B$3)</f>
        <v>0.001094589571</v>
      </c>
      <c r="C12" s="7">
        <f t="shared" si="13"/>
        <v>0.0000002983124551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cremonese</v>
      </c>
      <c r="J13" s="3"/>
      <c r="K13" s="3"/>
      <c r="L13" s="3" t="s">
        <v>14</v>
      </c>
      <c r="M13" s="6">
        <f>SUM(M2:M11)</f>
        <v>1.47840965</v>
      </c>
      <c r="N13" s="3"/>
      <c r="O13" s="3"/>
      <c r="P13" s="3" t="s">
        <v>14</v>
      </c>
      <c r="Q13" s="6">
        <f>SUM(Q2:Q11)</f>
        <v>3.178459957</v>
      </c>
    </row>
    <row r="14">
      <c r="A14" s="7" t="str">
        <f>B1</f>
        <v>napoli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1.289130613</v>
      </c>
      <c r="N14" s="3"/>
      <c r="O14" s="3"/>
      <c r="P14" s="3" t="s">
        <v>15</v>
      </c>
      <c r="Q14" s="6">
        <f>SUM(Q2:Q8)</f>
        <v>2.834207533</v>
      </c>
    </row>
    <row r="15">
      <c r="A15" s="2">
        <v>0.0</v>
      </c>
      <c r="B15" s="7">
        <f>B2*$C$2</f>
        <v>0.06687611974</v>
      </c>
      <c r="C15" s="7">
        <f>C5*B2</f>
        <v>0.04159694648</v>
      </c>
      <c r="D15" s="7">
        <f>C6*B2</f>
        <v>0.01293665036</v>
      </c>
      <c r="E15" s="7">
        <f>C7*B2</f>
        <v>0.00268219884</v>
      </c>
      <c r="F15" s="7">
        <f>C8*B2</f>
        <v>0.0004170819197</v>
      </c>
      <c r="G15" s="7">
        <f>C9*B2</f>
        <v>0.00005188499081</v>
      </c>
      <c r="H15" s="7">
        <f>$C$10*B2</f>
        <v>0.000005378744047</v>
      </c>
    </row>
    <row r="16">
      <c r="A16" s="2">
        <v>1.0</v>
      </c>
      <c r="B16" s="7">
        <f t="shared" ref="B16:B21" si="14">B5*$C$2</f>
        <v>0.1392971613</v>
      </c>
      <c r="C16" s="7">
        <f t="shared" ref="C16:C21" si="15">$C$5*B5</f>
        <v>0.08664283431</v>
      </c>
      <c r="D16" s="7">
        <f t="shared" ref="D16:D21" si="16">$C$6*B5</f>
        <v>0.02694592147</v>
      </c>
      <c r="E16" s="7">
        <f t="shared" ref="E16:E21" si="17">$C$7*B5</f>
        <v>0.005586787719</v>
      </c>
      <c r="F16" s="7">
        <f t="shared" ref="F16:F21" si="18">$C$8*B5</f>
        <v>0.0008687454902</v>
      </c>
      <c r="G16" s="7">
        <f t="shared" ref="G16:G21" si="19">$C$9*B5</f>
        <v>0.000108071939</v>
      </c>
      <c r="H16" s="7">
        <f t="shared" ref="H16:H21" si="20">$C$10*B5</f>
        <v>0.00001120345767</v>
      </c>
    </row>
    <row r="17">
      <c r="A17" s="2">
        <v>2.0</v>
      </c>
      <c r="B17" s="7">
        <f t="shared" si="14"/>
        <v>0.145071957</v>
      </c>
      <c r="C17" s="7">
        <f t="shared" si="15"/>
        <v>0.09023475727</v>
      </c>
      <c r="D17" s="7">
        <f t="shared" si="16"/>
        <v>0.02806300951</v>
      </c>
      <c r="E17" s="7">
        <f t="shared" si="17"/>
        <v>0.005818397306</v>
      </c>
      <c r="F17" s="7">
        <f t="shared" si="18"/>
        <v>0.000904760781</v>
      </c>
      <c r="G17" s="7">
        <f t="shared" si="19"/>
        <v>0.0001125522412</v>
      </c>
      <c r="H17" s="7">
        <f t="shared" si="20"/>
        <v>0.00001166791567</v>
      </c>
    </row>
    <row r="18">
      <c r="A18" s="2">
        <v>3.0</v>
      </c>
      <c r="B18" s="7">
        <f t="shared" si="14"/>
        <v>0.1007241044</v>
      </c>
      <c r="C18" s="7">
        <f t="shared" si="15"/>
        <v>0.06265039292</v>
      </c>
      <c r="D18" s="7">
        <f t="shared" si="16"/>
        <v>0.0194842722</v>
      </c>
      <c r="E18" s="7">
        <f t="shared" si="17"/>
        <v>0.004039739103</v>
      </c>
      <c r="F18" s="7">
        <f t="shared" si="18"/>
        <v>0.0006281794304</v>
      </c>
      <c r="G18" s="7">
        <f t="shared" si="19"/>
        <v>0.00007814552115</v>
      </c>
      <c r="H18" s="7">
        <f t="shared" si="20"/>
        <v>0.000008101085692</v>
      </c>
    </row>
    <row r="19">
      <c r="A19" s="2">
        <v>4.0</v>
      </c>
      <c r="B19" s="7">
        <f t="shared" si="14"/>
        <v>0.05244989492</v>
      </c>
      <c r="C19" s="7">
        <f t="shared" si="15"/>
        <v>0.03262383464</v>
      </c>
      <c r="D19" s="7">
        <f t="shared" si="16"/>
        <v>0.01014601257</v>
      </c>
      <c r="E19" s="7">
        <f t="shared" si="17"/>
        <v>0.002103606607</v>
      </c>
      <c r="F19" s="7">
        <f t="shared" si="18"/>
        <v>0.0003271108273</v>
      </c>
      <c r="G19" s="7">
        <f t="shared" si="19"/>
        <v>0.00004069258692</v>
      </c>
      <c r="H19" s="7">
        <f t="shared" si="20"/>
        <v>0.000004218464844</v>
      </c>
    </row>
    <row r="20">
      <c r="A20" s="2">
        <v>5.0</v>
      </c>
      <c r="B20" s="7">
        <f t="shared" si="14"/>
        <v>0.02184971706</v>
      </c>
      <c r="C20" s="7">
        <f t="shared" si="15"/>
        <v>0.01359052401</v>
      </c>
      <c r="D20" s="7">
        <f t="shared" si="16"/>
        <v>0.004226652967</v>
      </c>
      <c r="E20" s="7">
        <f t="shared" si="17"/>
        <v>0.0008763260485</v>
      </c>
      <c r="F20" s="7">
        <f t="shared" si="18"/>
        <v>0.0001362687005</v>
      </c>
      <c r="G20" s="7">
        <f t="shared" si="19"/>
        <v>0.00001695182635</v>
      </c>
      <c r="H20" s="7">
        <f t="shared" si="20"/>
        <v>0.000001757339331</v>
      </c>
    </row>
    <row r="21">
      <c r="A21" s="2">
        <v>6.0</v>
      </c>
      <c r="B21" s="7">
        <f t="shared" si="14"/>
        <v>0.007585177819</v>
      </c>
      <c r="C21" s="7">
        <f t="shared" si="15"/>
        <v>0.004717980604</v>
      </c>
      <c r="D21" s="7">
        <f t="shared" si="16"/>
        <v>0.001467291968</v>
      </c>
      <c r="E21" s="7">
        <f t="shared" si="17"/>
        <v>0.0003042185346</v>
      </c>
      <c r="F21" s="7">
        <f t="shared" si="18"/>
        <v>0.00004730598214</v>
      </c>
      <c r="G21" s="7">
        <f t="shared" si="19"/>
        <v>0.000005884864178</v>
      </c>
      <c r="H21" s="7">
        <f t="shared" si="20"/>
        <v>0.0000006100642531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0.0005876518911</v>
      </c>
      <c r="C25" s="10">
        <f>C15*B12</f>
        <v>0.00004553158379</v>
      </c>
      <c r="D25" s="10">
        <f>C16*B12</f>
        <v>0.00009483834281</v>
      </c>
      <c r="E25" s="10">
        <f>C17*B12</f>
        <v>0.00009877002423</v>
      </c>
      <c r="F25" s="10">
        <f>C18*B12</f>
        <v>0.00006857646669</v>
      </c>
      <c r="G25" s="10">
        <f>C19*B12</f>
        <v>0.00003570970915</v>
      </c>
      <c r="H25" s="10">
        <f>$C$10*B12</f>
        <v>0.00000004726394299</v>
      </c>
    </row>
    <row r="26">
      <c r="A26" s="2">
        <v>1.0</v>
      </c>
      <c r="B26" s="10">
        <f t="shared" ref="B26:B31" si="21">B15*$C$2</f>
        <v>0.03590375725</v>
      </c>
      <c r="C26" s="10">
        <f t="shared" ref="C26:C31" si="22">$C$5*B15</f>
        <v>0.02233213701</v>
      </c>
      <c r="D26" s="10">
        <f>$C$6*B15</f>
        <v>0.006945294611</v>
      </c>
      <c r="E26" s="10">
        <f>$C$7*B15</f>
        <v>0.001439991083</v>
      </c>
      <c r="F26" s="10">
        <f>$C$8*B15</f>
        <v>0.0002239186133</v>
      </c>
      <c r="G26" s="10">
        <f>$C$9*B15</f>
        <v>0.0000278554755</v>
      </c>
      <c r="H26" s="10">
        <f>$C$10*B15</f>
        <v>0.000002887684294</v>
      </c>
    </row>
    <row r="27">
      <c r="A27" s="2">
        <v>2.0</v>
      </c>
      <c r="B27" s="10">
        <f t="shared" si="21"/>
        <v>0.07478441458</v>
      </c>
      <c r="C27" s="10">
        <f t="shared" si="22"/>
        <v>0.04651590587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0.07788472701</v>
      </c>
      <c r="C28" s="10">
        <f t="shared" si="22"/>
        <v>0.0484443002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0.05407571203</v>
      </c>
      <c r="C29" s="10">
        <f t="shared" si="22"/>
        <v>0.03363509288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0.02815875536</v>
      </c>
      <c r="C30" s="10">
        <f t="shared" si="22"/>
        <v>0.01751474583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0.01173044938</v>
      </c>
      <c r="C31" s="10">
        <f t="shared" si="22"/>
        <v>0.007296339513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napoli</v>
      </c>
      <c r="J33" s="2" t="s">
        <v>17</v>
      </c>
      <c r="K33" s="7" t="str">
        <f>B13</f>
        <v>cremonese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0.0003154924498</v>
      </c>
      <c r="C36" s="10">
        <f t="shared" ref="C36:C41" si="24">$C$5*B25</f>
        <v>0.0001962363038</v>
      </c>
      <c r="D36" s="10">
        <f>$C$6*B25</f>
        <v>0.00006102949047</v>
      </c>
      <c r="E36" s="10">
        <f>$C$7*B25</f>
        <v>0.00001265344769</v>
      </c>
      <c r="F36" s="10">
        <f>$C$8*B25</f>
        <v>0.000001967611116</v>
      </c>
      <c r="G36" s="10">
        <f>$C$9*B25</f>
        <v>0.0000002447708228</v>
      </c>
      <c r="H36" s="10">
        <f>$C$10*B25</f>
        <v>0.0000000253745753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0.01927563665</v>
      </c>
      <c r="C37" s="10">
        <f t="shared" si="24"/>
        <v>0.011989446</v>
      </c>
      <c r="D37" s="7">
        <f t="shared" ref="D37:H37" si="25">D27*D17</f>
        <v>0.004677168252</v>
      </c>
      <c r="E37" s="7">
        <f t="shared" si="25"/>
        <v>0.0005818397306</v>
      </c>
      <c r="F37" s="7">
        <f t="shared" si="25"/>
        <v>0.0000603173854</v>
      </c>
      <c r="G37" s="7">
        <f t="shared" si="25"/>
        <v>0.000005359630531</v>
      </c>
      <c r="H37" s="7">
        <f t="shared" si="25"/>
        <v>0.0000004167112738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0.004677168252</v>
      </c>
      <c r="N37" s="7">
        <f>E27*D18</f>
        <v>0.00194842722</v>
      </c>
      <c r="O37" s="7">
        <f>F27*D19</f>
        <v>0.0006764008382</v>
      </c>
      <c r="P37" s="7">
        <f>G27*D20</f>
        <v>0.0002012691889</v>
      </c>
      <c r="Q37" s="7">
        <f>H27*D21</f>
        <v>0.00005240328456</v>
      </c>
    </row>
    <row r="38">
      <c r="A38" s="2">
        <v>3.0</v>
      </c>
      <c r="B38" s="10">
        <f t="shared" si="23"/>
        <v>0.04014948053</v>
      </c>
      <c r="C38" s="10">
        <f t="shared" si="24"/>
        <v>0.02497297689</v>
      </c>
      <c r="D38" s="10"/>
      <c r="E38" s="7">
        <f t="shared" ref="E38:H38" si="28">E28*E18</f>
        <v>0.001211921731</v>
      </c>
      <c r="F38" s="7">
        <f t="shared" si="28"/>
        <v>0.0001256358861</v>
      </c>
      <c r="G38" s="7">
        <f t="shared" si="28"/>
        <v>0.00001116364588</v>
      </c>
      <c r="H38" s="7">
        <f t="shared" si="28"/>
        <v>0.000000867973467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0.001211921731</v>
      </c>
      <c r="O38" s="7">
        <f>F28*E19</f>
        <v>0.0004207213213</v>
      </c>
      <c r="P38" s="7">
        <f>G28*E20</f>
        <v>0.0001251894355</v>
      </c>
      <c r="Q38" s="7">
        <f>H28*E21</f>
        <v>0.000032594843</v>
      </c>
    </row>
    <row r="39">
      <c r="A39" s="2">
        <v>4.0</v>
      </c>
      <c r="B39" s="10">
        <f t="shared" si="23"/>
        <v>0.0418139441</v>
      </c>
      <c r="C39" s="10">
        <f t="shared" si="24"/>
        <v>0.02600827323</v>
      </c>
      <c r="D39" s="10"/>
      <c r="E39" s="10"/>
      <c r="F39" s="7">
        <f t="shared" ref="F39:H39" si="29">F29*F19</f>
        <v>0.0001308443309</v>
      </c>
      <c r="G39" s="7">
        <f t="shared" si="29"/>
        <v>0.00001162645341</v>
      </c>
      <c r="H39" s="7">
        <f t="shared" si="29"/>
        <v>0.0000009039567523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0.0001308443309</v>
      </c>
      <c r="P39" s="7">
        <f>G29*F20</f>
        <v>0.00003893391444</v>
      </c>
      <c r="Q39" s="7">
        <f>H29*F21</f>
        <v>0.00001013699617</v>
      </c>
    </row>
    <row r="40">
      <c r="A40" s="2">
        <v>5.0</v>
      </c>
      <c r="B40" s="10">
        <f t="shared" si="23"/>
        <v>0.02903160718</v>
      </c>
      <c r="C40" s="10">
        <f t="shared" si="24"/>
        <v>0.01805765967</v>
      </c>
      <c r="D40" s="10"/>
      <c r="E40" s="10"/>
      <c r="F40" s="10"/>
      <c r="G40" s="7">
        <f t="shared" ref="G40:H40" si="30">G30*G20</f>
        <v>0.00000807229826</v>
      </c>
      <c r="H40" s="7">
        <f t="shared" si="30"/>
        <v>0.0000006276211897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0.00000807229826</v>
      </c>
      <c r="Q40" s="7">
        <f>H30*G21</f>
        <v>0.000002101737206</v>
      </c>
    </row>
    <row r="41">
      <c r="A41" s="2">
        <v>6.0</v>
      </c>
      <c r="B41" s="10">
        <f t="shared" si="23"/>
        <v>0.0151175804</v>
      </c>
      <c r="C41" s="10">
        <f t="shared" si="24"/>
        <v>0.009403135007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22</v>
      </c>
      <c r="C1" s="1" t="s">
        <v>23</v>
      </c>
      <c r="D1" s="2" t="s">
        <v>2</v>
      </c>
      <c r="G1" s="2" t="str">
        <f t="shared" ref="G1:H1" si="1">B1</f>
        <v>sundeland</v>
      </c>
      <c r="H1" s="2" t="str">
        <f t="shared" si="1"/>
        <v>nottingham</v>
      </c>
      <c r="J1" s="3" t="str">
        <f>G1</f>
        <v>sundeland</v>
      </c>
      <c r="K1" s="3" t="s">
        <v>3</v>
      </c>
      <c r="L1" s="3" t="s">
        <v>4</v>
      </c>
      <c r="M1" s="3" t="s">
        <v>5</v>
      </c>
      <c r="N1" s="3" t="str">
        <f>H1</f>
        <v>nottingham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0.30235828877821336</v>
      </c>
      <c r="C2" s="1">
        <v>0.30119421191220186</v>
      </c>
      <c r="D2" s="2" t="s">
        <v>7</v>
      </c>
      <c r="E2" s="1">
        <v>2.5</v>
      </c>
      <c r="F2" s="2" t="s">
        <v>8</v>
      </c>
      <c r="G2" s="1">
        <v>2.85</v>
      </c>
      <c r="H2" s="1">
        <v>2.86</v>
      </c>
      <c r="J2" s="3"/>
      <c r="K2" s="4"/>
      <c r="L2" s="5">
        <v>2.4</v>
      </c>
      <c r="M2" s="6">
        <f t="shared" ref="M2:M11" si="3">IFERROR(-ln(1-(1/L2)),0)</f>
        <v>0.5389965007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1.196142578</v>
      </c>
      <c r="C3" s="7">
        <f t="shared" si="2"/>
        <v>1.2</v>
      </c>
      <c r="D3" s="2" t="s">
        <v>9</v>
      </c>
      <c r="E3" s="1">
        <v>2.33</v>
      </c>
      <c r="F3" s="2" t="s">
        <v>10</v>
      </c>
      <c r="G3" s="8">
        <f>1/(1/G2+SUM(D37:H40))</f>
        <v>2.746161525</v>
      </c>
      <c r="H3" s="8">
        <f>1/(1/H2+SUM(M37:Q40))</f>
        <v>2.755531711</v>
      </c>
      <c r="J3" s="3"/>
      <c r="K3" s="4"/>
      <c r="L3" s="5">
        <v>3.75</v>
      </c>
      <c r="M3" s="6">
        <f t="shared" si="3"/>
        <v>0.3101549283</v>
      </c>
      <c r="N3" s="3"/>
      <c r="O3" s="4"/>
      <c r="P3" s="5">
        <v>2.4</v>
      </c>
      <c r="Q3" s="6">
        <f t="shared" si="4"/>
        <v>0.5389965007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2.75</v>
      </c>
      <c r="Q4" s="6">
        <f t="shared" si="4"/>
        <v>0.4519851237</v>
      </c>
    </row>
    <row r="5">
      <c r="A5" s="2">
        <v>1.0</v>
      </c>
      <c r="B5" s="7">
        <f t="shared" ref="B5:C5" si="5">((B$3^$A5)/FACT($A5))*EXP(-B$3)</f>
        <v>0.3616636231</v>
      </c>
      <c r="C5" s="7">
        <f t="shared" si="5"/>
        <v>0.3614330543</v>
      </c>
      <c r="D5" s="2">
        <v>1.5</v>
      </c>
      <c r="E5" s="7">
        <f>1/(B2*(C2+C5)+B5*C2)</f>
        <v>3.233296893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0.2163006292</v>
      </c>
      <c r="C6" s="7">
        <f t="shared" si="6"/>
        <v>0.2168598326</v>
      </c>
      <c r="D6" s="2">
        <v>2.5</v>
      </c>
      <c r="E6" s="7">
        <f>1/(B2*(C2+C5+C6)+B5*(C2+C5)+B6*C2)</f>
        <v>1.752182244</v>
      </c>
      <c r="F6" s="2" t="s">
        <v>12</v>
      </c>
      <c r="J6" s="3"/>
      <c r="K6" s="4"/>
      <c r="L6" s="5">
        <v>3.5</v>
      </c>
      <c r="M6" s="6">
        <f t="shared" si="3"/>
        <v>0.3364722366</v>
      </c>
      <c r="N6" s="3"/>
      <c r="O6" s="4"/>
      <c r="P6" s="5">
        <v>11.0</v>
      </c>
      <c r="Q6" s="6">
        <f t="shared" si="4"/>
        <v>0.0953101798</v>
      </c>
    </row>
    <row r="7">
      <c r="A7" s="2">
        <v>3.0</v>
      </c>
      <c r="B7" s="7">
        <f t="shared" ref="B7:C7" si="7">((B$3^$A7)/FACT($A7))*EXP(-B$3)</f>
        <v>0.08624213077</v>
      </c>
      <c r="C7" s="7">
        <f t="shared" si="7"/>
        <v>0.08674393303</v>
      </c>
      <c r="D7" s="2">
        <v>3.5</v>
      </c>
      <c r="E7" s="7">
        <f>1/(B2*(C2+C5+C6+C7)+B5*(C2+C5+C6)+B6*(C2+C5)+B7*C2)</f>
        <v>1.282826278</v>
      </c>
      <c r="F7" s="7" t="str">
        <f>B1</f>
        <v>sundeland</v>
      </c>
      <c r="G7" s="2" t="s">
        <v>13</v>
      </c>
      <c r="H7" s="7" t="str">
        <f>C1</f>
        <v>nottingham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0.02578947116</v>
      </c>
      <c r="C8" s="7">
        <f t="shared" si="8"/>
        <v>0.02602317991</v>
      </c>
      <c r="D8" s="2">
        <v>4.5</v>
      </c>
      <c r="E8" s="7">
        <f>1/(B2*(C2+C5+C6+C7+C8)+B5*(C2+C5+C6+C7)+B6*(C2+C5+C6)+B7*(C2+C5)+B8*C2)</f>
        <v>1.105443208</v>
      </c>
      <c r="F8" s="7">
        <f>B5*C2+B6*(C5+C2)+B7*(C6+C5+C2)+B8*(C7+C6+C5+C2)+B9*(C8+C7+C6+C5+C2)+B10*(C9+C8+C7+C6+C5+C2)+B11*(C10+C9+C8+C7+C6+C5+C2)+B12*(C11+C10+C9+C8+C7+C6+C5+C2)</f>
        <v>0.3606165466</v>
      </c>
      <c r="G8" s="7">
        <f>B2*C2+B5*C5+B6*C6+B7*C7+B8*C8+B9*C9+B10*C10+B11*C11+B12*C12</f>
        <v>0.2768848932</v>
      </c>
      <c r="H8" s="7">
        <f>C5*B2+C6*(B5+B2)+C7*(B6+B5+B2)+C8*(B7+B6+B5+B2)+C9*(B8+B7+B6+B5+B2)+C10*(B9+B8+B7+B6+B5+B2)+C11*(B10+B9+B7+B8+B6+B5+B2)</f>
        <v>0.3624568463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10.5</v>
      </c>
      <c r="Q8" s="6">
        <f t="shared" si="4"/>
        <v>0.1000834586</v>
      </c>
    </row>
    <row r="9">
      <c r="A9" s="2">
        <v>5.0</v>
      </c>
      <c r="B9" s="7">
        <f t="shared" ref="B9:C9" si="9">((B$3^$A9)/FACT($A9))*EXP(-B$3)</f>
        <v>0.006169576905</v>
      </c>
      <c r="C9" s="7">
        <f t="shared" si="9"/>
        <v>0.006245563178</v>
      </c>
      <c r="F9" s="9">
        <f t="shared" ref="F9:H9" si="10">1/F8</f>
        <v>2.773028607</v>
      </c>
      <c r="G9" s="9">
        <f t="shared" si="10"/>
        <v>3.611609101</v>
      </c>
      <c r="H9" s="9">
        <f t="shared" si="10"/>
        <v>2.758949128</v>
      </c>
      <c r="J9" s="3"/>
      <c r="K9" s="4"/>
      <c r="L9" s="5">
        <v>5.0</v>
      </c>
      <c r="M9" s="6">
        <f t="shared" si="3"/>
        <v>0.2231435513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0.001229948937</v>
      </c>
      <c r="C10" s="7">
        <f t="shared" si="11"/>
        <v>0.001249112636</v>
      </c>
      <c r="J10" s="3"/>
      <c r="K10" s="4"/>
      <c r="L10" s="5">
        <v>12.0</v>
      </c>
      <c r="M10" s="6">
        <f t="shared" si="3"/>
        <v>0.08701137699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0.0002101706133</v>
      </c>
      <c r="C11" s="7">
        <f t="shared" si="12"/>
        <v>0.0002141335947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12.5</v>
      </c>
      <c r="Q11" s="6">
        <f t="shared" si="4"/>
        <v>0.08338160894</v>
      </c>
    </row>
    <row r="12">
      <c r="A12" s="2">
        <v>8.0</v>
      </c>
      <c r="B12" s="7">
        <f t="shared" ref="B12:C12" si="13">((B$3^$A12)/FACT($A12))*EXP(-B$3)</f>
        <v>0.0000314242524</v>
      </c>
      <c r="C12" s="7">
        <f t="shared" si="13"/>
        <v>0.0000321200392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nottingham</v>
      </c>
      <c r="J13" s="3"/>
      <c r="K13" s="3"/>
      <c r="L13" s="3" t="s">
        <v>14</v>
      </c>
      <c r="M13" s="6">
        <f>SUM(M2:M11)</f>
        <v>2.209128482</v>
      </c>
      <c r="N13" s="3"/>
      <c r="O13" s="3"/>
      <c r="P13" s="3" t="s">
        <v>14</v>
      </c>
      <c r="Q13" s="6">
        <f>SUM(Q2:Q11)</f>
        <v>2.1726337</v>
      </c>
    </row>
    <row r="14">
      <c r="A14" s="7" t="str">
        <f>B1</f>
        <v>sundeland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1.829980682</v>
      </c>
      <c r="N14" s="3"/>
      <c r="O14" s="3"/>
      <c r="P14" s="3" t="s">
        <v>15</v>
      </c>
      <c r="Q14" s="6">
        <f>SUM(Q2:Q8)</f>
        <v>1.951266348</v>
      </c>
    </row>
    <row r="15">
      <c r="A15" s="2">
        <v>0.0</v>
      </c>
      <c r="B15" s="7">
        <f>B2*$C$2</f>
        <v>0.0910685665</v>
      </c>
      <c r="C15" s="7">
        <f>C5*B2</f>
        <v>0.1092822798</v>
      </c>
      <c r="D15" s="7">
        <f>C6*B2</f>
        <v>0.06556936788</v>
      </c>
      <c r="E15" s="7">
        <f>C7*B2</f>
        <v>0.02622774715</v>
      </c>
      <c r="F15" s="7">
        <f>C8*B2</f>
        <v>0.007868324146</v>
      </c>
      <c r="G15" s="7">
        <f>C9*B2</f>
        <v>0.001888397795</v>
      </c>
      <c r="H15" s="7">
        <f>$C$10*B2</f>
        <v>0.000377679559</v>
      </c>
    </row>
    <row r="16">
      <c r="A16" s="2">
        <v>1.0</v>
      </c>
      <c r="B16" s="7">
        <f t="shared" ref="B16:B21" si="14">B5*$C$2</f>
        <v>0.1089309899</v>
      </c>
      <c r="C16" s="7">
        <f t="shared" ref="C16:C21" si="15">$C$5*B5</f>
        <v>0.1307171879</v>
      </c>
      <c r="D16" s="7">
        <f t="shared" ref="D16:D21" si="16">$C$6*B5</f>
        <v>0.07843031275</v>
      </c>
      <c r="E16" s="7">
        <f t="shared" ref="E16:E21" si="17">$C$7*B5</f>
        <v>0.0313721251</v>
      </c>
      <c r="F16" s="7">
        <f t="shared" ref="F16:F21" si="18">$C$8*B5</f>
        <v>0.009411637529</v>
      </c>
      <c r="G16" s="7">
        <f t="shared" ref="G16:G21" si="19">$C$9*B5</f>
        <v>0.002258793007</v>
      </c>
      <c r="H16" s="7">
        <f t="shared" ref="H16:H21" si="20">$C$10*B5</f>
        <v>0.0004517586014</v>
      </c>
    </row>
    <row r="17">
      <c r="A17" s="2">
        <v>2.0</v>
      </c>
      <c r="B17" s="7">
        <f t="shared" si="14"/>
        <v>0.06514849756</v>
      </c>
      <c r="C17" s="7">
        <f t="shared" si="15"/>
        <v>0.07817819708</v>
      </c>
      <c r="D17" s="7">
        <f t="shared" si="16"/>
        <v>0.04690691825</v>
      </c>
      <c r="E17" s="7">
        <f t="shared" si="17"/>
        <v>0.0187627673</v>
      </c>
      <c r="F17" s="7">
        <f t="shared" si="18"/>
        <v>0.005628830189</v>
      </c>
      <c r="G17" s="7">
        <f t="shared" si="19"/>
        <v>0.001350919245</v>
      </c>
      <c r="H17" s="7">
        <f t="shared" si="20"/>
        <v>0.0002701838491</v>
      </c>
    </row>
    <row r="18">
      <c r="A18" s="2">
        <v>3.0</v>
      </c>
      <c r="B18" s="7">
        <f t="shared" si="14"/>
        <v>0.02597563061</v>
      </c>
      <c r="C18" s="7">
        <f t="shared" si="15"/>
        <v>0.03117075673</v>
      </c>
      <c r="D18" s="7">
        <f t="shared" si="16"/>
        <v>0.01870245404</v>
      </c>
      <c r="E18" s="7">
        <f t="shared" si="17"/>
        <v>0.007480981616</v>
      </c>
      <c r="F18" s="7">
        <f t="shared" si="18"/>
        <v>0.002244294485</v>
      </c>
      <c r="G18" s="7">
        <f t="shared" si="19"/>
        <v>0.0005386306764</v>
      </c>
      <c r="H18" s="7">
        <f t="shared" si="20"/>
        <v>0.0001077261353</v>
      </c>
    </row>
    <row r="19">
      <c r="A19" s="2">
        <v>4.0</v>
      </c>
      <c r="B19" s="7">
        <f t="shared" si="14"/>
        <v>0.007767639442</v>
      </c>
      <c r="C19" s="7">
        <f t="shared" si="15"/>
        <v>0.009321167331</v>
      </c>
      <c r="D19" s="7">
        <f t="shared" si="16"/>
        <v>0.005592700398</v>
      </c>
      <c r="E19" s="7">
        <f t="shared" si="17"/>
        <v>0.002237080159</v>
      </c>
      <c r="F19" s="7">
        <f t="shared" si="18"/>
        <v>0.0006711240478</v>
      </c>
      <c r="G19" s="7">
        <f t="shared" si="19"/>
        <v>0.0001610697715</v>
      </c>
      <c r="H19" s="7">
        <f t="shared" si="20"/>
        <v>0.00003221395429</v>
      </c>
    </row>
    <row r="20">
      <c r="A20" s="2">
        <v>5.0</v>
      </c>
      <c r="B20" s="7">
        <f t="shared" si="14"/>
        <v>0.001858240854</v>
      </c>
      <c r="C20" s="7">
        <f t="shared" si="15"/>
        <v>0.002229889024</v>
      </c>
      <c r="D20" s="7">
        <f t="shared" si="16"/>
        <v>0.001337933415</v>
      </c>
      <c r="E20" s="7">
        <f t="shared" si="17"/>
        <v>0.0005351733659</v>
      </c>
      <c r="F20" s="7">
        <f t="shared" si="18"/>
        <v>0.0001605520098</v>
      </c>
      <c r="G20" s="7">
        <f t="shared" si="19"/>
        <v>0.00003853248234</v>
      </c>
      <c r="H20" s="7">
        <f t="shared" si="20"/>
        <v>0.000007706496468</v>
      </c>
    </row>
    <row r="21">
      <c r="A21" s="2">
        <v>6.0</v>
      </c>
      <c r="B21" s="7">
        <f t="shared" si="14"/>
        <v>0.0003704535009</v>
      </c>
      <c r="C21" s="7">
        <f t="shared" si="15"/>
        <v>0.0004445442011</v>
      </c>
      <c r="D21" s="7">
        <f t="shared" si="16"/>
        <v>0.0002667265207</v>
      </c>
      <c r="E21" s="7">
        <f t="shared" si="17"/>
        <v>0.0001066906083</v>
      </c>
      <c r="F21" s="7">
        <f t="shared" si="18"/>
        <v>0.00003200718248</v>
      </c>
      <c r="G21" s="7">
        <f t="shared" si="19"/>
        <v>0.000007681723795</v>
      </c>
      <c r="H21" s="7">
        <f t="shared" si="20"/>
        <v>0.000001536344759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0.000009464802937</v>
      </c>
      <c r="C25" s="10">
        <f>C15*B12</f>
        <v>0.000003434113944</v>
      </c>
      <c r="D25" s="10">
        <f>C16*B12</f>
        <v>0.000004107689906</v>
      </c>
      <c r="E25" s="10">
        <f>C17*B12</f>
        <v>0.000002456691397</v>
      </c>
      <c r="F25" s="10">
        <f>C18*B12</f>
        <v>0.0000009795177272</v>
      </c>
      <c r="G25" s="10">
        <f>C19*B12</f>
        <v>0.0000002929107149</v>
      </c>
      <c r="H25" s="10">
        <f>$C$10*B12</f>
        <v>0.00000003925243074</v>
      </c>
    </row>
    <row r="26">
      <c r="A26" s="2">
        <v>1.0</v>
      </c>
      <c r="B26" s="10">
        <f t="shared" ref="B26:B31" si="21">B15*$C$2</f>
        <v>0.02742932512</v>
      </c>
      <c r="C26" s="10">
        <f t="shared" ref="C26:C31" si="22">$C$5*B15</f>
        <v>0.03291519014</v>
      </c>
      <c r="D26" s="10">
        <f>$C$6*B15</f>
        <v>0.01974911408</v>
      </c>
      <c r="E26" s="10">
        <f>$C$7*B15</f>
        <v>0.007899645634</v>
      </c>
      <c r="F26" s="10">
        <f>$C$8*B15</f>
        <v>0.00236989369</v>
      </c>
      <c r="G26" s="10">
        <f>$C$9*B15</f>
        <v>0.0005687744856</v>
      </c>
      <c r="H26" s="10">
        <f>$C$10*B15</f>
        <v>0.0001137548971</v>
      </c>
    </row>
    <row r="27">
      <c r="A27" s="2">
        <v>2.0</v>
      </c>
      <c r="B27" s="10">
        <f t="shared" si="21"/>
        <v>0.03280938366</v>
      </c>
      <c r="C27" s="10">
        <f t="shared" si="22"/>
        <v>0.0393712604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0.01962235038</v>
      </c>
      <c r="C28" s="10">
        <f t="shared" si="22"/>
        <v>0.02354682046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0.007823709591</v>
      </c>
      <c r="C29" s="10">
        <f t="shared" si="22"/>
        <v>0.009388451509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0.00233956804</v>
      </c>
      <c r="C30" s="10">
        <f t="shared" si="22"/>
        <v>0.002807481648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0.0005596913895</v>
      </c>
      <c r="C31" s="10">
        <f t="shared" si="22"/>
        <v>0.0006716296673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sundeland</v>
      </c>
      <c r="J33" s="2" t="s">
        <v>17</v>
      </c>
      <c r="K33" s="7" t="str">
        <f>B13</f>
        <v>nottingham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0.000002850743862</v>
      </c>
      <c r="C36" s="10">
        <f t="shared" ref="C36:C41" si="24">$C$5*B25</f>
        <v>0.000003420892634</v>
      </c>
      <c r="D36" s="10">
        <f>$C$6*B25</f>
        <v>0.00000205253558</v>
      </c>
      <c r="E36" s="10">
        <f>$C$7*B25</f>
        <v>0.0000008210142322</v>
      </c>
      <c r="F36" s="10">
        <f>$C$8*B25</f>
        <v>0.0000002463042696</v>
      </c>
      <c r="G36" s="10">
        <f>$C$9*B25</f>
        <v>0.00000005911302472</v>
      </c>
      <c r="H36" s="10">
        <f>$C$10*B25</f>
        <v>0.00000001182260494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0.008261553962</v>
      </c>
      <c r="C37" s="10">
        <f t="shared" si="24"/>
        <v>0.009913864755</v>
      </c>
      <c r="D37" s="7">
        <f t="shared" ref="D37:H37" si="25">D27*D17</f>
        <v>0.007817819708</v>
      </c>
      <c r="E37" s="7">
        <f t="shared" si="25"/>
        <v>0.00187627673</v>
      </c>
      <c r="F37" s="7">
        <f t="shared" si="25"/>
        <v>0.000375255346</v>
      </c>
      <c r="G37" s="7">
        <f t="shared" si="25"/>
        <v>0.00006432948788</v>
      </c>
      <c r="H37" s="7">
        <f t="shared" si="25"/>
        <v>0.000009649423182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0.007817819708</v>
      </c>
      <c r="N37" s="7">
        <f>E27*D18</f>
        <v>0.001870245404</v>
      </c>
      <c r="O37" s="7">
        <f>F27*D19</f>
        <v>0.0003728466932</v>
      </c>
      <c r="P37" s="7">
        <f>G27*D20</f>
        <v>0.00006371111498</v>
      </c>
      <c r="Q37" s="7">
        <f>H27*D21</f>
        <v>0.000009525947166</v>
      </c>
    </row>
    <row r="38">
      <c r="A38" s="2">
        <v>3.0</v>
      </c>
      <c r="B38" s="10">
        <f t="shared" si="23"/>
        <v>0.009881996456</v>
      </c>
      <c r="C38" s="10">
        <f t="shared" si="24"/>
        <v>0.01185839575</v>
      </c>
      <c r="D38" s="10"/>
      <c r="E38" s="7">
        <f t="shared" ref="E38:H38" si="28">E28*E18</f>
        <v>0.002244294485</v>
      </c>
      <c r="F38" s="7">
        <f t="shared" si="28"/>
        <v>0.000448858897</v>
      </c>
      <c r="G38" s="7">
        <f t="shared" si="28"/>
        <v>0.00007694723948</v>
      </c>
      <c r="H38" s="7">
        <f t="shared" si="28"/>
        <v>0.00001154208592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0.002244294485</v>
      </c>
      <c r="O38" s="7">
        <f>F28*E19</f>
        <v>0.0004474160319</v>
      </c>
      <c r="P38" s="7">
        <f>G28*E20</f>
        <v>0.00007645333798</v>
      </c>
      <c r="Q38" s="7">
        <f>H28*E21</f>
        <v>0.0000114311366</v>
      </c>
    </row>
    <row r="39">
      <c r="A39" s="2">
        <v>4.0</v>
      </c>
      <c r="B39" s="10">
        <f t="shared" si="23"/>
        <v>0.005910138359</v>
      </c>
      <c r="C39" s="10">
        <f t="shared" si="24"/>
        <v>0.007092166031</v>
      </c>
      <c r="D39" s="10"/>
      <c r="E39" s="10"/>
      <c r="F39" s="7">
        <f t="shared" ref="F39:H39" si="29">F29*F19</f>
        <v>0.0002684496191</v>
      </c>
      <c r="G39" s="7">
        <f t="shared" si="29"/>
        <v>0.00004601993471</v>
      </c>
      <c r="H39" s="7">
        <f t="shared" si="29"/>
        <v>0.000006902990206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0.0002684496191</v>
      </c>
      <c r="P39" s="7">
        <f>G29*F20</f>
        <v>0.00004587200279</v>
      </c>
      <c r="Q39" s="7">
        <f>H29*F21</f>
        <v>0.00000685868196</v>
      </c>
    </row>
    <row r="40">
      <c r="A40" s="2">
        <v>5.0</v>
      </c>
      <c r="B40" s="10">
        <f t="shared" si="23"/>
        <v>0.002356456045</v>
      </c>
      <c r="C40" s="10">
        <f t="shared" si="24"/>
        <v>0.002827747253</v>
      </c>
      <c r="D40" s="10"/>
      <c r="E40" s="10"/>
      <c r="F40" s="10"/>
      <c r="G40" s="7">
        <f t="shared" ref="G40:H40" si="30">G30*G20</f>
        <v>0.00001834880111</v>
      </c>
      <c r="H40" s="7">
        <f t="shared" si="30"/>
        <v>0.000002752320167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0.00001834880111</v>
      </c>
      <c r="Q40" s="7">
        <f>H30*G21</f>
        <v>0.000002743472784</v>
      </c>
    </row>
    <row r="41">
      <c r="A41" s="2">
        <v>6.0</v>
      </c>
      <c r="B41" s="10">
        <f t="shared" si="23"/>
        <v>0.0007046643521</v>
      </c>
      <c r="C41" s="10">
        <f t="shared" si="24"/>
        <v>0.0008455972225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24</v>
      </c>
      <c r="C1" s="1" t="s">
        <v>25</v>
      </c>
      <c r="D1" s="2" t="s">
        <v>2</v>
      </c>
      <c r="G1" s="2" t="str">
        <f t="shared" ref="G1:H1" si="1">B1</f>
        <v>betis</v>
      </c>
      <c r="H1" s="2" t="str">
        <f t="shared" si="1"/>
        <v>real madrid</v>
      </c>
      <c r="J1" s="3" t="str">
        <f>G1</f>
        <v>betis</v>
      </c>
      <c r="K1" s="3" t="s">
        <v>3</v>
      </c>
      <c r="L1" s="3" t="s">
        <v>4</v>
      </c>
      <c r="M1" s="3" t="s">
        <v>5</v>
      </c>
      <c r="N1" s="3" t="str">
        <f>H1</f>
        <v>real madrid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0.2502345889469919</v>
      </c>
      <c r="C2" s="1">
        <v>0.1380692373108926</v>
      </c>
      <c r="D2" s="2" t="s">
        <v>7</v>
      </c>
      <c r="E2" s="1">
        <v>2.5</v>
      </c>
      <c r="F2" s="2" t="s">
        <v>8</v>
      </c>
      <c r="G2" s="1">
        <v>3.82</v>
      </c>
      <c r="H2" s="1">
        <v>1.995</v>
      </c>
      <c r="J2" s="3"/>
      <c r="K2" s="4"/>
      <c r="L2" s="5">
        <v>3.0</v>
      </c>
      <c r="M2" s="6">
        <f t="shared" ref="M2:M11" si="3">IFERROR(-ln(1-(1/L2)),0)</f>
        <v>0.4054651081</v>
      </c>
      <c r="N2" s="3"/>
      <c r="O2" s="4"/>
      <c r="P2" s="5">
        <v>2.75</v>
      </c>
      <c r="Q2" s="6">
        <f t="shared" ref="Q2:Q11" si="4">IFERROR(-ln(1-(1/P2)),0)</f>
        <v>0.4519851237</v>
      </c>
    </row>
    <row r="3">
      <c r="A3" s="2" t="s">
        <v>5</v>
      </c>
      <c r="B3" s="7">
        <f t="shared" ref="B3:C3" si="2">-ln(B2)</f>
        <v>1.385356445</v>
      </c>
      <c r="C3" s="7">
        <f t="shared" si="2"/>
        <v>1.98</v>
      </c>
      <c r="D3" s="2" t="s">
        <v>9</v>
      </c>
      <c r="E3" s="1">
        <v>1.53</v>
      </c>
      <c r="F3" s="2" t="s">
        <v>10</v>
      </c>
      <c r="G3" s="8">
        <f>1/(1/G2+SUM(D37:H40))</f>
        <v>3.454594191</v>
      </c>
      <c r="H3" s="8">
        <f>1/(1/H2+SUM(M37:Q40))</f>
        <v>1.903116344</v>
      </c>
      <c r="J3" s="3"/>
      <c r="K3" s="4"/>
      <c r="L3" s="5">
        <v>3.5</v>
      </c>
      <c r="M3" s="6">
        <f t="shared" si="3"/>
        <v>0.3364722366</v>
      </c>
      <c r="N3" s="3"/>
      <c r="O3" s="4"/>
      <c r="P3" s="5">
        <v>3.25</v>
      </c>
      <c r="Q3" s="6">
        <f t="shared" si="4"/>
        <v>0.3677247801</v>
      </c>
    </row>
    <row r="4">
      <c r="A4" s="2" t="s">
        <v>11</v>
      </c>
      <c r="J4" s="3"/>
      <c r="K4" s="4"/>
      <c r="L4" s="5">
        <v>4.5</v>
      </c>
      <c r="M4" s="6">
        <f t="shared" si="3"/>
        <v>0.2513144283</v>
      </c>
      <c r="N4" s="3"/>
      <c r="O4" s="4"/>
      <c r="P4" s="5">
        <v>4.5</v>
      </c>
      <c r="Q4" s="6">
        <f t="shared" si="4"/>
        <v>0.2513144283</v>
      </c>
    </row>
    <row r="5">
      <c r="A5" s="2">
        <v>1.0</v>
      </c>
      <c r="B5" s="7">
        <f t="shared" ref="B5:C5" si="5">((B$3^$A5)/FACT($A5))*EXP(-B$3)</f>
        <v>0.3466641006</v>
      </c>
      <c r="C5" s="7">
        <f t="shared" si="5"/>
        <v>0.2733770899</v>
      </c>
      <c r="D5" s="2">
        <v>1.5</v>
      </c>
      <c r="E5" s="7">
        <f>1/(B2*(C2+C5)+B5*C2)</f>
        <v>6.630343412</v>
      </c>
      <c r="J5" s="3"/>
      <c r="K5" s="4"/>
      <c r="L5" s="5">
        <v>5.0</v>
      </c>
      <c r="M5" s="6">
        <f t="shared" si="3"/>
        <v>0.2231435513</v>
      </c>
      <c r="N5" s="3"/>
      <c r="O5" s="4"/>
      <c r="P5" s="5">
        <v>6.0</v>
      </c>
      <c r="Q5" s="6">
        <f t="shared" si="4"/>
        <v>0.1823215568</v>
      </c>
    </row>
    <row r="6">
      <c r="A6" s="2">
        <v>2.0</v>
      </c>
      <c r="B6" s="7">
        <f t="shared" ref="B6:C6" si="6">((B$3^$A6)/FACT($A6))*EXP(-B$3)</f>
        <v>0.2401266731</v>
      </c>
      <c r="C6" s="7">
        <f t="shared" si="6"/>
        <v>0.270643319</v>
      </c>
      <c r="D6" s="2">
        <v>2.5</v>
      </c>
      <c r="E6" s="7">
        <f>1/(B2*(C2+C5+C6)+B5*(C2+C5)+B6*C2)</f>
        <v>2.886251113</v>
      </c>
      <c r="F6" s="2" t="s">
        <v>12</v>
      </c>
      <c r="J6" s="3"/>
      <c r="K6" s="4"/>
      <c r="L6" s="5">
        <v>10.0</v>
      </c>
      <c r="M6" s="6">
        <f t="shared" si="3"/>
        <v>0.1053605157</v>
      </c>
      <c r="N6" s="3"/>
      <c r="O6" s="4"/>
      <c r="P6" s="5">
        <v>6.0</v>
      </c>
      <c r="Q6" s="6">
        <f t="shared" si="4"/>
        <v>0.1823215568</v>
      </c>
    </row>
    <row r="7">
      <c r="A7" s="2">
        <v>3.0</v>
      </c>
      <c r="B7" s="7">
        <f t="shared" ref="B7:C7" si="7">((B$3^$A7)/FACT($A7))*EXP(-B$3)</f>
        <v>0.1108870114</v>
      </c>
      <c r="C7" s="7">
        <f t="shared" si="7"/>
        <v>0.1786245905</v>
      </c>
      <c r="D7" s="2">
        <v>3.5</v>
      </c>
      <c r="E7" s="7">
        <f>1/(B2*(C2+C5+C6+C7)+B5*(C2+C5+C6)+B6*(C2+C5)+B7*C2)</f>
        <v>1.766953687</v>
      </c>
      <c r="F7" s="7" t="str">
        <f>B1</f>
        <v>betis</v>
      </c>
      <c r="G7" s="2" t="s">
        <v>13</v>
      </c>
      <c r="H7" s="7" t="str">
        <f>C1</f>
        <v>real madrid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8.0</v>
      </c>
      <c r="Q7" s="6">
        <f t="shared" si="4"/>
        <v>0.1335313926</v>
      </c>
    </row>
    <row r="8">
      <c r="A8" s="2">
        <v>4.0</v>
      </c>
      <c r="B8" s="7">
        <f t="shared" ref="B8:C8" si="8">((B$3^$A8)/FACT($A8))*EXP(-B$3)</f>
        <v>0.03840450899</v>
      </c>
      <c r="C8" s="7">
        <f t="shared" si="8"/>
        <v>0.08841917231</v>
      </c>
      <c r="D8" s="2">
        <v>4.5</v>
      </c>
      <c r="E8" s="7">
        <f>1/(B2*(C2+C5+C6+C7+C8)+B5*(C2+C5+C6+C7)+B6*(C2+C5+C6)+B7*(C2+C5)+B8*C2)</f>
        <v>1.332268961</v>
      </c>
      <c r="F8" s="7">
        <f>B5*C2+B6*(C5+C2)+B7*(C6+C5+C2)+B8*(C7+C6+C5+C2)+B9*(C8+C7+C6+C5+C2)+B10*(C9+C8+C7+C6+C5+C2)+B11*(C10+C9+C8+C7+C6+C5+C2)+B12*(C11+C10+C9+C8+C7+C6+C5+C2)</f>
        <v>0.2684387957</v>
      </c>
      <c r="G8" s="7">
        <f>B2*C2+B5*C5+B6*C6+B7*C7+B8*C8+B9*C9+B10*C10+B11*C11+B12*C12</f>
        <v>0.2179138655</v>
      </c>
      <c r="H8" s="7">
        <f>C5*B2+C6*(B5+B2)+C7*(B6+B5+B2)+C8*(B7+B6+B5+B2)+C9*(B8+B7+B6+B5+B2)+C10*(B9+B8+B7+B6+B5+B2)+C11*(B10+B9+B7+B8+B6+B5+B2)</f>
        <v>0.5126027352</v>
      </c>
      <c r="J8" s="3"/>
      <c r="K8" s="4"/>
      <c r="L8" s="5">
        <v>10.0</v>
      </c>
      <c r="M8" s="6">
        <f t="shared" si="3"/>
        <v>0.1053605157</v>
      </c>
      <c r="N8" s="3"/>
      <c r="O8" s="4"/>
      <c r="P8" s="5">
        <v>8.0</v>
      </c>
      <c r="Q8" s="6">
        <f t="shared" si="4"/>
        <v>0.1335313926</v>
      </c>
    </row>
    <row r="9">
      <c r="A9" s="2">
        <v>5.0</v>
      </c>
      <c r="B9" s="7">
        <f t="shared" ref="B9:C9" si="9">((B$3^$A9)/FACT($A9))*EXP(-B$3)</f>
        <v>0.01064078681</v>
      </c>
      <c r="C9" s="7">
        <f t="shared" si="9"/>
        <v>0.03501399223</v>
      </c>
      <c r="F9" s="9">
        <f t="shared" ref="F9:H9" si="10">1/F8</f>
        <v>3.725243951</v>
      </c>
      <c r="G9" s="9">
        <f t="shared" si="10"/>
        <v>4.588969121</v>
      </c>
      <c r="H9" s="9">
        <f t="shared" si="10"/>
        <v>1.950828451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0.002456880432</v>
      </c>
      <c r="C10" s="7">
        <f t="shared" si="11"/>
        <v>0.01155461744</v>
      </c>
      <c r="J10" s="3"/>
      <c r="K10" s="4"/>
      <c r="L10" s="5">
        <v>20.0</v>
      </c>
      <c r="M10" s="6">
        <f t="shared" si="3"/>
        <v>0.05129329439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0.0004862364489</v>
      </c>
      <c r="C11" s="7">
        <f t="shared" si="12"/>
        <v>0.003268306075</v>
      </c>
      <c r="J11" s="3"/>
      <c r="K11" s="4"/>
      <c r="L11" s="5">
        <v>20.0</v>
      </c>
      <c r="M11" s="6">
        <f t="shared" si="3"/>
        <v>0.05129329439</v>
      </c>
      <c r="N11" s="3"/>
      <c r="O11" s="4"/>
      <c r="P11" s="5">
        <v>20.0</v>
      </c>
      <c r="Q11" s="6">
        <f t="shared" si="4"/>
        <v>0.05129329439</v>
      </c>
    </row>
    <row r="12">
      <c r="A12" s="2">
        <v>8.0</v>
      </c>
      <c r="B12" s="7">
        <f t="shared" ref="B12:C12" si="13">((B$3^$A12)/FACT($A12))*EXP(-B$3)</f>
        <v>0.0000842013498</v>
      </c>
      <c r="C12" s="7">
        <f t="shared" si="13"/>
        <v>0.0008089057536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real madrid</v>
      </c>
      <c r="J13" s="3"/>
      <c r="K13" s="3"/>
      <c r="L13" s="3" t="s">
        <v>14</v>
      </c>
      <c r="M13" s="6">
        <f>SUM(M2:M11)</f>
        <v>1.704056332</v>
      </c>
      <c r="N13" s="3"/>
      <c r="O13" s="3"/>
      <c r="P13" s="3" t="s">
        <v>14</v>
      </c>
      <c r="Q13" s="6">
        <f>SUM(Q2:Q11)</f>
        <v>1.892009268</v>
      </c>
    </row>
    <row r="14">
      <c r="A14" s="7" t="str">
        <f>B1</f>
        <v>betis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1.532476871</v>
      </c>
      <c r="N14" s="3"/>
      <c r="O14" s="3"/>
      <c r="P14" s="3" t="s">
        <v>15</v>
      </c>
      <c r="Q14" s="6">
        <f>SUM(Q2:Q8)</f>
        <v>1.702730231</v>
      </c>
    </row>
    <row r="15">
      <c r="A15" s="2">
        <v>0.0</v>
      </c>
      <c r="B15" s="7">
        <f>B2*$C$2</f>
        <v>0.03454969884</v>
      </c>
      <c r="C15" s="7">
        <f>C5*B2</f>
        <v>0.06840840371</v>
      </c>
      <c r="D15" s="7">
        <f>C6*B2</f>
        <v>0.06772431968</v>
      </c>
      <c r="E15" s="7">
        <f>C7*B2</f>
        <v>0.04469805099</v>
      </c>
      <c r="F15" s="7">
        <f>C8*B2</f>
        <v>0.02212553524</v>
      </c>
      <c r="G15" s="7">
        <f>C9*B2</f>
        <v>0.008761711954</v>
      </c>
      <c r="H15" s="7">
        <f>$C$10*B2</f>
        <v>0.002891364945</v>
      </c>
    </row>
    <row r="16">
      <c r="A16" s="2">
        <v>1.0</v>
      </c>
      <c r="B16" s="7">
        <f t="shared" ref="B16:B21" si="14">B5*$C$2</f>
        <v>0.04786364798</v>
      </c>
      <c r="C16" s="7">
        <f t="shared" ref="C16:C21" si="15">$C$5*B5</f>
        <v>0.094770023</v>
      </c>
      <c r="D16" s="7">
        <f t="shared" ref="D16:D21" si="16">$C$6*B5</f>
        <v>0.09382232277</v>
      </c>
      <c r="E16" s="7">
        <f t="shared" ref="E16:E21" si="17">$C$7*B5</f>
        <v>0.06192273303</v>
      </c>
      <c r="F16" s="7">
        <f t="shared" ref="F16:F21" si="18">$C$8*B5</f>
        <v>0.03065175285</v>
      </c>
      <c r="G16" s="7">
        <f t="shared" ref="G16:G21" si="19">$C$9*B5</f>
        <v>0.01213809413</v>
      </c>
      <c r="H16" s="7">
        <f t="shared" ref="H16:H21" si="20">$C$10*B5</f>
        <v>0.004005571062</v>
      </c>
    </row>
    <row r="17">
      <c r="A17" s="2">
        <v>2.0</v>
      </c>
      <c r="B17" s="7">
        <f t="shared" si="14"/>
        <v>0.03315410661</v>
      </c>
      <c r="C17" s="7">
        <f t="shared" si="15"/>
        <v>0.06564513109</v>
      </c>
      <c r="D17" s="7">
        <f t="shared" si="16"/>
        <v>0.06498867978</v>
      </c>
      <c r="E17" s="7">
        <f t="shared" si="17"/>
        <v>0.04289252865</v>
      </c>
      <c r="F17" s="7">
        <f t="shared" si="18"/>
        <v>0.02123180168</v>
      </c>
      <c r="G17" s="7">
        <f t="shared" si="19"/>
        <v>0.008407793467</v>
      </c>
      <c r="H17" s="7">
        <f t="shared" si="20"/>
        <v>0.002774571844</v>
      </c>
    </row>
    <row r="18">
      <c r="A18" s="2">
        <v>3.0</v>
      </c>
      <c r="B18" s="7">
        <f t="shared" si="14"/>
        <v>0.01531008509</v>
      </c>
      <c r="C18" s="7">
        <f t="shared" si="15"/>
        <v>0.03031396849</v>
      </c>
      <c r="D18" s="7">
        <f t="shared" si="16"/>
        <v>0.0300108288</v>
      </c>
      <c r="E18" s="7">
        <f t="shared" si="17"/>
        <v>0.01980714701</v>
      </c>
      <c r="F18" s="7">
        <f t="shared" si="18"/>
        <v>0.009804537769</v>
      </c>
      <c r="G18" s="7">
        <f t="shared" si="19"/>
        <v>0.003882596957</v>
      </c>
      <c r="H18" s="7">
        <f t="shared" si="20"/>
        <v>0.001281256996</v>
      </c>
    </row>
    <row r="19">
      <c r="A19" s="2">
        <v>4.0</v>
      </c>
      <c r="B19" s="7">
        <f t="shared" si="14"/>
        <v>0.005302481266</v>
      </c>
      <c r="C19" s="7">
        <f t="shared" si="15"/>
        <v>0.01049891291</v>
      </c>
      <c r="D19" s="7">
        <f t="shared" si="16"/>
        <v>0.01039392378</v>
      </c>
      <c r="E19" s="7">
        <f t="shared" si="17"/>
        <v>0.006859989693</v>
      </c>
      <c r="F19" s="7">
        <f t="shared" si="18"/>
        <v>0.003395694898</v>
      </c>
      <c r="G19" s="7">
        <f t="shared" si="19"/>
        <v>0.00134469518</v>
      </c>
      <c r="H19" s="7">
        <f t="shared" si="20"/>
        <v>0.0004437494093</v>
      </c>
    </row>
    <row r="20">
      <c r="A20" s="2">
        <v>5.0</v>
      </c>
      <c r="B20" s="7">
        <f t="shared" si="14"/>
        <v>0.00146916532</v>
      </c>
      <c r="C20" s="7">
        <f t="shared" si="15"/>
        <v>0.002908947333</v>
      </c>
      <c r="D20" s="7">
        <f t="shared" si="16"/>
        <v>0.002879857859</v>
      </c>
      <c r="E20" s="7">
        <f t="shared" si="17"/>
        <v>0.001900706187</v>
      </c>
      <c r="F20" s="7">
        <f t="shared" si="18"/>
        <v>0.0009408495627</v>
      </c>
      <c r="G20" s="7">
        <f t="shared" si="19"/>
        <v>0.0003725764268</v>
      </c>
      <c r="H20" s="7">
        <f t="shared" si="20"/>
        <v>0.0001229502208</v>
      </c>
    </row>
    <row r="21">
      <c r="A21" s="2">
        <v>6.0</v>
      </c>
      <c r="B21" s="7">
        <f t="shared" si="14"/>
        <v>0.0003392196074</v>
      </c>
      <c r="C21" s="7">
        <f t="shared" si="15"/>
        <v>0.0006716548227</v>
      </c>
      <c r="D21" s="7">
        <f t="shared" si="16"/>
        <v>0.0006649382745</v>
      </c>
      <c r="E21" s="7">
        <f t="shared" si="17"/>
        <v>0.0004388592612</v>
      </c>
      <c r="F21" s="7">
        <f t="shared" si="18"/>
        <v>0.0002172353343</v>
      </c>
      <c r="G21" s="7">
        <f t="shared" si="19"/>
        <v>0.00008602519238</v>
      </c>
      <c r="H21" s="7">
        <f t="shared" si="20"/>
        <v>0.00002838831348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0.00001162561615</v>
      </c>
      <c r="C25" s="10">
        <f>C15*B12</f>
        <v>0.00000576007993</v>
      </c>
      <c r="D25" s="10">
        <f>C16*B12</f>
        <v>0.000007979763857</v>
      </c>
      <c r="E25" s="10">
        <f>C17*B12</f>
        <v>0.000005527408646</v>
      </c>
      <c r="F25" s="10">
        <f>C18*B12</f>
        <v>0.000002552477064</v>
      </c>
      <c r="G25" s="10">
        <f>C19*B12</f>
        <v>0.0000008840226382</v>
      </c>
      <c r="H25" s="10">
        <f>$C$10*B12</f>
        <v>0.0000009729143847</v>
      </c>
    </row>
    <row r="26">
      <c r="A26" s="2">
        <v>1.0</v>
      </c>
      <c r="B26" s="10">
        <f t="shared" ref="B26:B31" si="21">B15*$C$2</f>
        <v>0.004770250569</v>
      </c>
      <c r="C26" s="10">
        <f t="shared" ref="C26:C31" si="22">$C$5*B15</f>
        <v>0.009445096126</v>
      </c>
      <c r="D26" s="10">
        <f>$C$6*B15</f>
        <v>0.009350645165</v>
      </c>
      <c r="E26" s="10">
        <f>$C$7*B15</f>
        <v>0.006171425809</v>
      </c>
      <c r="F26" s="10">
        <f>$C$8*B15</f>
        <v>0.003054855775</v>
      </c>
      <c r="G26" s="10">
        <f>$C$9*B15</f>
        <v>0.001209722887</v>
      </c>
      <c r="H26" s="10">
        <f>$C$10*B15</f>
        <v>0.0003992085527</v>
      </c>
    </row>
    <row r="27">
      <c r="A27" s="2">
        <v>2.0</v>
      </c>
      <c r="B27" s="10">
        <f t="shared" si="21"/>
        <v>0.006608497371</v>
      </c>
      <c r="C27" s="10">
        <f t="shared" si="22"/>
        <v>0.0130848248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0.004577562214</v>
      </c>
      <c r="C28" s="10">
        <f t="shared" si="22"/>
        <v>0.009063573183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0.002113851772</v>
      </c>
      <c r="C29" s="10">
        <f t="shared" si="22"/>
        <v>0.004185426509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0.0007321095442</v>
      </c>
      <c r="C30" s="10">
        <f t="shared" si="22"/>
        <v>0.001449576898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0.0002028465352</v>
      </c>
      <c r="C31" s="10">
        <f t="shared" si="22"/>
        <v>0.0004016361396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betis</v>
      </c>
      <c r="J33" s="2" t="s">
        <v>17</v>
      </c>
      <c r="K33" s="7" t="str">
        <f>B13</f>
        <v>real madrid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0.000001605139955</v>
      </c>
      <c r="C36" s="10">
        <f t="shared" ref="C36:C41" si="24">$C$5*B25</f>
        <v>0.00000317817711</v>
      </c>
      <c r="D36" s="10">
        <f>$C$6*B25</f>
        <v>0.000003146395339</v>
      </c>
      <c r="E36" s="10">
        <f>$C$7*B25</f>
        <v>0.000002076620924</v>
      </c>
      <c r="F36" s="10">
        <f>$C$8*B25</f>
        <v>0.000001027927357</v>
      </c>
      <c r="G36" s="10">
        <f>$C$9*B25</f>
        <v>0.0000004070592335</v>
      </c>
      <c r="H36" s="10">
        <f>$C$10*B25</f>
        <v>0.0000001343295471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0.0006586248578</v>
      </c>
      <c r="C37" s="10">
        <f t="shared" si="24"/>
        <v>0.001304077218</v>
      </c>
      <c r="D37" s="7">
        <f t="shared" ref="D37:H37" si="25">D27*D17</f>
        <v>0.01083144663</v>
      </c>
      <c r="E37" s="7">
        <f t="shared" si="25"/>
        <v>0.004289252865</v>
      </c>
      <c r="F37" s="7">
        <f t="shared" si="25"/>
        <v>0.001415453446</v>
      </c>
      <c r="G37" s="7">
        <f t="shared" si="25"/>
        <v>0.0004003711175</v>
      </c>
      <c r="H37" s="7">
        <f t="shared" si="25"/>
        <v>0.00009909185157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0.01083144663</v>
      </c>
      <c r="N37" s="7">
        <f>E27*D18</f>
        <v>0.00300108288</v>
      </c>
      <c r="O37" s="7">
        <f>F27*D19</f>
        <v>0.0006929282518</v>
      </c>
      <c r="P37" s="7">
        <f>G27*D20</f>
        <v>0.0001371360885</v>
      </c>
      <c r="Q37" s="7">
        <f>H27*D21</f>
        <v>0.00002374779552</v>
      </c>
    </row>
    <row r="38">
      <c r="A38" s="2">
        <v>3.0</v>
      </c>
      <c r="B38" s="10">
        <f t="shared" si="23"/>
        <v>0.0009124301918</v>
      </c>
      <c r="C38" s="10">
        <f t="shared" si="24"/>
        <v>0.00180661178</v>
      </c>
      <c r="D38" s="10"/>
      <c r="E38" s="7">
        <f t="shared" ref="E38:H38" si="28">E28*E18</f>
        <v>0.005942144103</v>
      </c>
      <c r="F38" s="7">
        <f t="shared" si="28"/>
        <v>0.001960907554</v>
      </c>
      <c r="G38" s="7">
        <f t="shared" si="28"/>
        <v>0.0005546567081</v>
      </c>
      <c r="H38" s="7">
        <f t="shared" si="28"/>
        <v>0.0001372775353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0.005942144103</v>
      </c>
      <c r="O38" s="7">
        <f>F28*E19</f>
        <v>0.001371997939</v>
      </c>
      <c r="P38" s="7">
        <f>G28*E20</f>
        <v>0.0002715294553</v>
      </c>
      <c r="Q38" s="7">
        <f>H28*E21</f>
        <v>0.00004702063513</v>
      </c>
    </row>
    <row r="39">
      <c r="A39" s="2">
        <v>4.0</v>
      </c>
      <c r="B39" s="10">
        <f t="shared" si="23"/>
        <v>0.0006320205236</v>
      </c>
      <c r="C39" s="10">
        <f t="shared" si="24"/>
        <v>0.001251400637</v>
      </c>
      <c r="D39" s="10"/>
      <c r="E39" s="10"/>
      <c r="F39" s="7">
        <f t="shared" ref="F39:H39" si="29">F29*F19</f>
        <v>0.001358277959</v>
      </c>
      <c r="G39" s="7">
        <f t="shared" si="29"/>
        <v>0.0003841986228</v>
      </c>
      <c r="H39" s="7">
        <f t="shared" si="29"/>
        <v>0.00009508915913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0.001358277959</v>
      </c>
      <c r="P39" s="7">
        <f>G29*F20</f>
        <v>0.0002688141608</v>
      </c>
      <c r="Q39" s="7">
        <f>H29*F21</f>
        <v>0.00004655042878</v>
      </c>
    </row>
    <row r="40">
      <c r="A40" s="2">
        <v>5.0</v>
      </c>
      <c r="B40" s="10">
        <f t="shared" si="23"/>
        <v>0.000291857902</v>
      </c>
      <c r="C40" s="10">
        <f t="shared" si="24"/>
        <v>0.0005778786459</v>
      </c>
      <c r="D40" s="10"/>
      <c r="E40" s="10"/>
      <c r="F40" s="10"/>
      <c r="G40" s="7">
        <f t="shared" ref="G40:H40" si="30">G30*G20</f>
        <v>0.0001774173461</v>
      </c>
      <c r="H40" s="7">
        <f t="shared" si="30"/>
        <v>0.00004391079316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0.0001774173461</v>
      </c>
      <c r="Q40" s="7">
        <f>H30*G21</f>
        <v>0.00003072328299</v>
      </c>
    </row>
    <row r="41">
      <c r="A41" s="2">
        <v>6.0</v>
      </c>
      <c r="B41" s="10">
        <f t="shared" si="23"/>
        <v>0.0001010818064</v>
      </c>
      <c r="C41" s="10">
        <f t="shared" si="24"/>
        <v>0.0002001419767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26</v>
      </c>
      <c r="C1" s="1" t="s">
        <v>27</v>
      </c>
      <c r="D1" s="2" t="s">
        <v>2</v>
      </c>
      <c r="G1" s="2" t="str">
        <f t="shared" ref="G1:H1" si="1">B1</f>
        <v>angers</v>
      </c>
      <c r="H1" s="2" t="str">
        <f t="shared" si="1"/>
        <v>psg</v>
      </c>
      <c r="J1" s="3" t="str">
        <f>G1</f>
        <v>angers</v>
      </c>
      <c r="K1" s="3" t="s">
        <v>3</v>
      </c>
      <c r="L1" s="3" t="s">
        <v>4</v>
      </c>
      <c r="M1" s="3" t="s">
        <v>5</v>
      </c>
      <c r="N1" s="3" t="str">
        <f>H1</f>
        <v>psg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0.5012280500235571</v>
      </c>
      <c r="C2" s="1">
        <v>0.07792565872842665</v>
      </c>
      <c r="D2" s="2" t="s">
        <v>7</v>
      </c>
      <c r="E2" s="1">
        <v>2.5</v>
      </c>
      <c r="F2" s="2" t="s">
        <v>8</v>
      </c>
      <c r="G2" s="1">
        <v>12.78</v>
      </c>
      <c r="H2" s="1">
        <v>1.297</v>
      </c>
      <c r="J2" s="3"/>
      <c r="K2" s="4"/>
      <c r="L2" s="5">
        <v>2.5</v>
      </c>
      <c r="M2" s="6">
        <f t="shared" ref="M2:M11" si="3">IFERROR(-ln(1-(1/L2)),0)</f>
        <v>0.5108256238</v>
      </c>
      <c r="N2" s="3"/>
      <c r="O2" s="4"/>
      <c r="P2" s="5">
        <v>2.65</v>
      </c>
      <c r="Q2" s="6">
        <f t="shared" ref="Q2:Q11" si="4">IFERROR(-ln(1-(1/P2)),0)</f>
        <v>0.4737843521</v>
      </c>
    </row>
    <row r="3">
      <c r="A3" s="2" t="s">
        <v>5</v>
      </c>
      <c r="B3" s="7">
        <f t="shared" ref="B3:C3" si="2">-ln(B2)</f>
        <v>0.6906940918</v>
      </c>
      <c r="C3" s="7">
        <f t="shared" si="2"/>
        <v>2.552</v>
      </c>
      <c r="D3" s="2" t="s">
        <v>9</v>
      </c>
      <c r="E3" s="1">
        <v>1.59</v>
      </c>
      <c r="F3" s="2" t="s">
        <v>10</v>
      </c>
      <c r="G3" s="8">
        <f>1/(1/G2+SUM(D37:H40))</f>
        <v>11.00934942</v>
      </c>
      <c r="H3" s="8">
        <f>1/(1/H2+SUM(M37:Q40))</f>
        <v>1.28340485</v>
      </c>
      <c r="J3" s="3"/>
      <c r="K3" s="4"/>
      <c r="L3" s="5">
        <v>3.0</v>
      </c>
      <c r="M3" s="6">
        <f t="shared" si="3"/>
        <v>0.4054651081</v>
      </c>
      <c r="N3" s="3"/>
      <c r="O3" s="4"/>
      <c r="P3" s="5">
        <v>3.2</v>
      </c>
      <c r="Q3" s="6">
        <f t="shared" si="4"/>
        <v>0.3746934494</v>
      </c>
    </row>
    <row r="4">
      <c r="A4" s="2" t="s">
        <v>11</v>
      </c>
      <c r="J4" s="3"/>
      <c r="K4" s="4"/>
      <c r="L4" s="5">
        <v>3.5</v>
      </c>
      <c r="M4" s="6">
        <f t="shared" si="3"/>
        <v>0.3364722366</v>
      </c>
      <c r="N4" s="3"/>
      <c r="O4" s="4"/>
      <c r="P4" s="5">
        <v>4.0</v>
      </c>
      <c r="Q4" s="6">
        <f t="shared" si="4"/>
        <v>0.2876820725</v>
      </c>
    </row>
    <row r="5">
      <c r="A5" s="2">
        <v>1.0</v>
      </c>
      <c r="B5" s="7">
        <f t="shared" ref="B5:C5" si="5">((B$3^$A5)/FACT($A5))*EXP(-B$3)</f>
        <v>0.3461952528</v>
      </c>
      <c r="C5" s="7">
        <f t="shared" si="5"/>
        <v>0.1988662811</v>
      </c>
      <c r="D5" s="2">
        <v>1.5</v>
      </c>
      <c r="E5" s="7">
        <f>1/(B2*(C2+C5)+B5*C2)</f>
        <v>6.034515836</v>
      </c>
      <c r="J5" s="3"/>
      <c r="K5" s="4"/>
      <c r="L5" s="5">
        <v>7.0</v>
      </c>
      <c r="M5" s="6">
        <f t="shared" si="3"/>
        <v>0.1541506798</v>
      </c>
      <c r="N5" s="3"/>
      <c r="O5" s="4"/>
      <c r="P5" s="5">
        <v>5.0</v>
      </c>
      <c r="Q5" s="6">
        <f t="shared" si="4"/>
        <v>0.2231435513</v>
      </c>
    </row>
    <row r="6">
      <c r="A6" s="2">
        <v>2.0</v>
      </c>
      <c r="B6" s="7">
        <f t="shared" ref="B6:C6" si="6">((B$3^$A6)/FACT($A6))*EXP(-B$3)</f>
        <v>0.1195575079</v>
      </c>
      <c r="C6" s="7">
        <f t="shared" si="6"/>
        <v>0.2537533747</v>
      </c>
      <c r="D6" s="2">
        <v>2.5</v>
      </c>
      <c r="E6" s="7">
        <f>1/(B2*(C2+C5+C6)+B5*(C2+C5)+B6*C2)</f>
        <v>2.694946744</v>
      </c>
      <c r="F6" s="2" t="s">
        <v>12</v>
      </c>
      <c r="J6" s="3"/>
      <c r="K6" s="4"/>
      <c r="L6" s="5">
        <v>8.0</v>
      </c>
      <c r="M6" s="6">
        <f t="shared" si="3"/>
        <v>0.1335313926</v>
      </c>
      <c r="N6" s="3"/>
      <c r="O6" s="4"/>
      <c r="P6" s="5">
        <v>10.0</v>
      </c>
      <c r="Q6" s="6">
        <f t="shared" si="4"/>
        <v>0.1053605157</v>
      </c>
    </row>
    <row r="7">
      <c r="A7" s="2">
        <v>3.0</v>
      </c>
      <c r="B7" s="7">
        <f t="shared" ref="B7:C7" si="7">((B$3^$A7)/FACT($A7))*EXP(-B$3)</f>
        <v>0.0275258881</v>
      </c>
      <c r="C7" s="7">
        <f t="shared" si="7"/>
        <v>0.2158595374</v>
      </c>
      <c r="D7" s="2">
        <v>3.5</v>
      </c>
      <c r="E7" s="7">
        <f>1/(B2*(C2+C5+C6+C7)+B5*(C2+C5+C6)+B6*(C2+C5)+B7*C2)</f>
        <v>1.686258617</v>
      </c>
      <c r="F7" s="7" t="str">
        <f>B1</f>
        <v>angers</v>
      </c>
      <c r="G7" s="2" t="s">
        <v>13</v>
      </c>
      <c r="H7" s="7" t="str">
        <f>C1</f>
        <v>psg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10.0</v>
      </c>
      <c r="Q7" s="6">
        <f t="shared" si="4"/>
        <v>0.1053605157</v>
      </c>
    </row>
    <row r="8">
      <c r="A8" s="2">
        <v>4.0</v>
      </c>
      <c r="B8" s="7">
        <f t="shared" ref="B8:C8" si="8">((B$3^$A8)/FACT($A8))*EXP(-B$3)</f>
        <v>0.004752992071</v>
      </c>
      <c r="C8" s="7">
        <f t="shared" si="8"/>
        <v>0.1377183848</v>
      </c>
      <c r="D8" s="2">
        <v>4.5</v>
      </c>
      <c r="E8" s="7">
        <f>1/(B2*(C2+C5+C6+C7+C8)+B5*(C2+C5+C6+C7)+B6*(C2+C5+C6)+B7*(C2+C5)+B8*C2)</f>
        <v>1.293712639</v>
      </c>
      <c r="F8" s="7">
        <f>B5*C2+B6*(C5+C2)+B7*(C6+C5+C2)+B8*(C7+C6+C5+C2)+B9*(C8+C7+C6+C5+C2)+B10*(C9+C8+C7+C6+C5+C2)+B11*(C10+C9+C8+C7+C6+C5+C2)+B12*(C11+C10+C9+C8+C7+C6+C5+C2)</f>
        <v>0.07888204402</v>
      </c>
      <c r="G8" s="7">
        <f>B2*C2+B5*C5+B6*C6+B7*C7+B8*C8+B9*C9+B10*C10+B11*C11+B12*C12</f>
        <v>0.144888004</v>
      </c>
      <c r="H8" s="7">
        <f>C5*B2+C6*(B5+B2)+C7*(B6+B5+B2)+C8*(B7+B6+B5+B2)+C9*(B8+B7+B6+B5+B2)+C10*(B9+B8+B7+B6+B5+B2)+C11*(B10+B9+B7+B8+B6+B5+B2)</f>
        <v>0.7714416065</v>
      </c>
      <c r="J8" s="3"/>
      <c r="K8" s="4"/>
      <c r="L8" s="5">
        <v>10.0</v>
      </c>
      <c r="M8" s="6">
        <f t="shared" si="3"/>
        <v>0.1053605157</v>
      </c>
      <c r="N8" s="3"/>
      <c r="O8" s="4"/>
      <c r="P8" s="5">
        <v>10.0</v>
      </c>
      <c r="Q8" s="6">
        <f t="shared" si="4"/>
        <v>0.1053605157</v>
      </c>
    </row>
    <row r="9">
      <c r="A9" s="2">
        <v>5.0</v>
      </c>
      <c r="B9" s="7">
        <f t="shared" ref="B9:C9" si="9">((B$3^$A9)/FACT($A9))*EXP(-B$3)</f>
        <v>0.0006565727083</v>
      </c>
      <c r="C9" s="7">
        <f t="shared" si="9"/>
        <v>0.07029146362</v>
      </c>
      <c r="F9" s="9">
        <f t="shared" ref="F9:H9" si="10">1/F8</f>
        <v>12.67715628</v>
      </c>
      <c r="G9" s="9">
        <f t="shared" si="10"/>
        <v>6.901882641</v>
      </c>
      <c r="H9" s="9">
        <f t="shared" si="10"/>
        <v>1.296274393</v>
      </c>
      <c r="J9" s="3"/>
      <c r="K9" s="4"/>
      <c r="L9" s="5">
        <v>10.0</v>
      </c>
      <c r="M9" s="6">
        <f t="shared" si="3"/>
        <v>0.1053605157</v>
      </c>
      <c r="N9" s="3"/>
      <c r="O9" s="4"/>
      <c r="P9" s="5">
        <v>10.0</v>
      </c>
      <c r="Q9" s="6">
        <f t="shared" si="4"/>
        <v>0.1053605157</v>
      </c>
    </row>
    <row r="10">
      <c r="A10" s="2">
        <v>6.0</v>
      </c>
      <c r="B10" s="7">
        <f t="shared" ref="B10:C10" si="11">((B$3^$A10)/FACT($A10))*EXP(-B$3)</f>
        <v>0.00007558181508</v>
      </c>
      <c r="C10" s="7">
        <f t="shared" si="11"/>
        <v>0.02989730253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10.0</v>
      </c>
      <c r="Q10" s="6">
        <f t="shared" si="4"/>
        <v>0.1053605157</v>
      </c>
    </row>
    <row r="11">
      <c r="A11" s="2">
        <v>7.0</v>
      </c>
      <c r="B11" s="7">
        <f t="shared" ref="B11:C11" si="12">((B$3^$A11)/FACT($A11))*EXP(-B$3)</f>
        <v>0.000007457701875</v>
      </c>
      <c r="C11" s="7">
        <f t="shared" si="12"/>
        <v>0.01089970229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0.0000006438738279</v>
      </c>
      <c r="C12" s="7">
        <f t="shared" si="13"/>
        <v>0.003477005031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psg</v>
      </c>
      <c r="J13" s="3"/>
      <c r="K13" s="3"/>
      <c r="L13" s="3" t="s">
        <v>14</v>
      </c>
      <c r="M13" s="6">
        <f>SUM(M2:M11)</f>
        <v>1.994512331</v>
      </c>
      <c r="N13" s="3"/>
      <c r="O13" s="3"/>
      <c r="P13" s="3" t="s">
        <v>14</v>
      </c>
      <c r="Q13" s="6">
        <f>SUM(Q2:Q11)</f>
        <v>1.955098875</v>
      </c>
    </row>
    <row r="14">
      <c r="A14" s="7" t="str">
        <f>B1</f>
        <v>angers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1.751166072</v>
      </c>
      <c r="N14" s="3"/>
      <c r="O14" s="3"/>
      <c r="P14" s="3" t="s">
        <v>15</v>
      </c>
      <c r="Q14" s="6">
        <f>SUM(Q2:Q8)</f>
        <v>1.675384972</v>
      </c>
    </row>
    <row r="15">
      <c r="A15" s="2">
        <v>0.0</v>
      </c>
      <c r="B15" s="7">
        <f>B2*$C$2</f>
        <v>0.03905852597</v>
      </c>
      <c r="C15" s="7">
        <f>C5*B2</f>
        <v>0.09967735828</v>
      </c>
      <c r="D15" s="7">
        <f>C6*B2</f>
        <v>0.1271883092</v>
      </c>
      <c r="E15" s="7">
        <f>C7*B2</f>
        <v>0.108194855</v>
      </c>
      <c r="F15" s="7">
        <f>C8*B2</f>
        <v>0.06902831749</v>
      </c>
      <c r="G15" s="7">
        <f>C9*B2</f>
        <v>0.03523205325</v>
      </c>
      <c r="H15" s="7">
        <f>$C$10*B2</f>
        <v>0.01498536665</v>
      </c>
    </row>
    <row r="16">
      <c r="A16" s="2">
        <v>1.0</v>
      </c>
      <c r="B16" s="7">
        <f t="shared" ref="B16:B21" si="14">B5*$C$2</f>
        <v>0.02697749312</v>
      </c>
      <c r="C16" s="7">
        <f t="shared" ref="C16:C21" si="15">$C$5*B5</f>
        <v>0.06884656245</v>
      </c>
      <c r="D16" s="7">
        <f t="shared" ref="D16:D21" si="16">$C$6*B5</f>
        <v>0.08784821368</v>
      </c>
      <c r="E16" s="7">
        <f t="shared" ref="E16:E21" si="17">$C$7*B5</f>
        <v>0.07472954711</v>
      </c>
      <c r="F16" s="7">
        <f t="shared" ref="F16:F21" si="18">$C$8*B5</f>
        <v>0.04767745105</v>
      </c>
      <c r="G16" s="7">
        <f t="shared" ref="G16:G21" si="19">$C$9*B5</f>
        <v>0.02433457102</v>
      </c>
      <c r="H16" s="7">
        <f t="shared" ref="H16:H21" si="20">$C$10*B5</f>
        <v>0.01035030421</v>
      </c>
    </row>
    <row r="17">
      <c r="A17" s="2">
        <v>2.0</v>
      </c>
      <c r="B17" s="7">
        <f t="shared" si="14"/>
        <v>0.009316597556</v>
      </c>
      <c r="C17" s="7">
        <f t="shared" si="15"/>
        <v>0.02377595696</v>
      </c>
      <c r="D17" s="7">
        <f t="shared" si="16"/>
        <v>0.03033812108</v>
      </c>
      <c r="E17" s="7">
        <f t="shared" si="17"/>
        <v>0.02580762834</v>
      </c>
      <c r="F17" s="7">
        <f t="shared" si="18"/>
        <v>0.01646526688</v>
      </c>
      <c r="G17" s="7">
        <f t="shared" si="19"/>
        <v>0.008403872214</v>
      </c>
      <c r="H17" s="7">
        <f t="shared" si="20"/>
        <v>0.003574446982</v>
      </c>
    </row>
    <row r="18">
      <c r="A18" s="2">
        <v>3.0</v>
      </c>
      <c r="B18" s="7">
        <f t="shared" si="14"/>
        <v>0.002144972962</v>
      </c>
      <c r="C18" s="7">
        <f t="shared" si="15"/>
        <v>0.005473971</v>
      </c>
      <c r="D18" s="7">
        <f t="shared" si="16"/>
        <v>0.006984786996</v>
      </c>
      <c r="E18" s="7">
        <f t="shared" si="17"/>
        <v>0.005941725471</v>
      </c>
      <c r="F18" s="7">
        <f t="shared" si="18"/>
        <v>0.003790820851</v>
      </c>
      <c r="G18" s="7">
        <f t="shared" si="19"/>
        <v>0.001934834962</v>
      </c>
      <c r="H18" s="7">
        <f t="shared" si="20"/>
        <v>0.0008229498039</v>
      </c>
    </row>
    <row r="19">
      <c r="A19" s="2">
        <v>4.0</v>
      </c>
      <c r="B19" s="7">
        <f t="shared" si="14"/>
        <v>0.0003703800381</v>
      </c>
      <c r="C19" s="7">
        <f t="shared" si="15"/>
        <v>0.0009452098571</v>
      </c>
      <c r="D19" s="7">
        <f t="shared" si="16"/>
        <v>0.001206087778</v>
      </c>
      <c r="E19" s="7">
        <f t="shared" si="17"/>
        <v>0.00102597867</v>
      </c>
      <c r="F19" s="7">
        <f t="shared" si="18"/>
        <v>0.0006545743912</v>
      </c>
      <c r="G19" s="7">
        <f t="shared" si="19"/>
        <v>0.0003340947693</v>
      </c>
      <c r="H19" s="7">
        <f t="shared" si="20"/>
        <v>0.0001421016419</v>
      </c>
    </row>
    <row r="20">
      <c r="A20" s="2">
        <v>5.0</v>
      </c>
      <c r="B20" s="7">
        <f t="shared" si="14"/>
        <v>0.0000511638608</v>
      </c>
      <c r="C20" s="7">
        <f t="shared" si="15"/>
        <v>0.0001305701728</v>
      </c>
      <c r="D20" s="7">
        <f t="shared" si="16"/>
        <v>0.0001666075404</v>
      </c>
      <c r="E20" s="7">
        <f t="shared" si="17"/>
        <v>0.0001417274811</v>
      </c>
      <c r="F20" s="7">
        <f t="shared" si="18"/>
        <v>0.00009042213292</v>
      </c>
      <c r="G20" s="7">
        <f t="shared" si="19"/>
        <v>0.00004615145664</v>
      </c>
      <c r="H20" s="7">
        <f t="shared" si="20"/>
        <v>0.00001962975289</v>
      </c>
    </row>
    <row r="21">
      <c r="A21" s="2">
        <v>6.0</v>
      </c>
      <c r="B21" s="7">
        <f t="shared" si="14"/>
        <v>0.000005889762728</v>
      </c>
      <c r="C21" s="7">
        <f t="shared" si="15"/>
        <v>0.00001503067448</v>
      </c>
      <c r="D21" s="7">
        <f t="shared" si="16"/>
        <v>0.00001917914064</v>
      </c>
      <c r="E21" s="7">
        <f t="shared" si="17"/>
        <v>0.00001631505564</v>
      </c>
      <c r="F21" s="7">
        <f t="shared" si="18"/>
        <v>0.0000104090055</v>
      </c>
      <c r="G21" s="7">
        <f t="shared" si="19"/>
        <v>0.000005312756405</v>
      </c>
      <c r="H21" s="7">
        <f t="shared" si="20"/>
        <v>0.000002259692391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0.00000005017429218</v>
      </c>
      <c r="C25" s="10">
        <f>C15*B12</f>
        <v>0.00000006417964223</v>
      </c>
      <c r="D25" s="10">
        <f>C16*B12</f>
        <v>0.0000000443284997</v>
      </c>
      <c r="E25" s="10">
        <f>C17*B12</f>
        <v>0.00000001530871642</v>
      </c>
      <c r="F25" s="10">
        <f>C18*B12</f>
        <v>0.000000003524546662</v>
      </c>
      <c r="G25" s="10">
        <f>C19*B12</f>
        <v>0.0000000006085958889</v>
      </c>
      <c r="H25" s="10">
        <f>$C$10*B12</f>
        <v>0.00000001925009062</v>
      </c>
    </row>
    <row r="26">
      <c r="A26" s="2">
        <v>1.0</v>
      </c>
      <c r="B26" s="10">
        <f t="shared" ref="B26:B31" si="21">B15*$C$2</f>
        <v>0.003043661365</v>
      </c>
      <c r="C26" s="10">
        <f t="shared" ref="C26:C31" si="22">$C$5*B15</f>
        <v>0.007767423804</v>
      </c>
      <c r="D26" s="10">
        <f>$C$6*B15</f>
        <v>0.009911232774</v>
      </c>
      <c r="E26" s="10">
        <f>$C$7*B15</f>
        <v>0.008431155347</v>
      </c>
      <c r="F26" s="10">
        <f>$C$8*B15</f>
        <v>0.005379077111</v>
      </c>
      <c r="G26" s="10">
        <f>$C$9*B15</f>
        <v>0.002745480957</v>
      </c>
      <c r="H26" s="10">
        <f>$C$10*B15</f>
        <v>0.001167744567</v>
      </c>
    </row>
    <row r="27">
      <c r="A27" s="2">
        <v>2.0</v>
      </c>
      <c r="B27" s="10">
        <f t="shared" si="21"/>
        <v>0.002102238922</v>
      </c>
      <c r="C27" s="10">
        <f t="shared" si="22"/>
        <v>0.00536491373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0.0007260020016</v>
      </c>
      <c r="C28" s="10">
        <f t="shared" si="22"/>
        <v>0.001852757108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0.0001671484311</v>
      </c>
      <c r="C29" s="10">
        <f t="shared" si="22"/>
        <v>0.000426562796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0.00002886210845</v>
      </c>
      <c r="C30" s="10">
        <f t="shared" si="22"/>
        <v>0.00007365610075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0.000003986977556</v>
      </c>
      <c r="C31" s="10">
        <f t="shared" si="22"/>
        <v>0.00001017476672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angers</v>
      </c>
      <c r="J33" s="2" t="s">
        <v>17</v>
      </c>
      <c r="K33" s="7" t="str">
        <f>B13</f>
        <v>psg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0.000000003909864769</v>
      </c>
      <c r="C36" s="10">
        <f t="shared" ref="C36:C41" si="24">$C$5*B25</f>
        <v>0.000000009977974891</v>
      </c>
      <c r="D36" s="10">
        <f>$C$6*B25</f>
        <v>0.00000001273189596</v>
      </c>
      <c r="E36" s="10">
        <f>$C$7*B25</f>
        <v>0.0000000108305995</v>
      </c>
      <c r="F36" s="10">
        <f>$C$8*B25</f>
        <v>0.000000006909922479</v>
      </c>
      <c r="G36" s="10">
        <f>$C$9*B25</f>
        <v>0.000000003526824434</v>
      </c>
      <c r="H36" s="10">
        <f>$C$10*B25</f>
        <v>0.000000001500075992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0.0002371793168</v>
      </c>
      <c r="C37" s="10">
        <f t="shared" si="24"/>
        <v>0.0006052816166</v>
      </c>
      <c r="D37" s="7">
        <f t="shared" ref="D37:H37" si="25">D27*D17</f>
        <v>0.005056353514</v>
      </c>
      <c r="E37" s="7">
        <f t="shared" si="25"/>
        <v>0.002580762834</v>
      </c>
      <c r="F37" s="7">
        <f t="shared" si="25"/>
        <v>0.001097684459</v>
      </c>
      <c r="G37" s="7">
        <f t="shared" si="25"/>
        <v>0.0004001843912</v>
      </c>
      <c r="H37" s="7">
        <f t="shared" si="25"/>
        <v>0.0001276588208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0.005056353514</v>
      </c>
      <c r="N37" s="7">
        <f>E27*D18</f>
        <v>0.0006984786996</v>
      </c>
      <c r="O37" s="7">
        <f>F27*D19</f>
        <v>0.00008040585185</v>
      </c>
      <c r="P37" s="7">
        <f>G27*D20</f>
        <v>0.000007933692402</v>
      </c>
      <c r="Q37" s="7">
        <f>H27*D21</f>
        <v>0.0000006849693085</v>
      </c>
    </row>
    <row r="38">
      <c r="A38" s="2">
        <v>3.0</v>
      </c>
      <c r="B38" s="10">
        <f t="shared" si="23"/>
        <v>0.0001638183528</v>
      </c>
      <c r="C38" s="10">
        <f t="shared" si="24"/>
        <v>0.0004180644364</v>
      </c>
      <c r="D38" s="10"/>
      <c r="E38" s="7">
        <f t="shared" ref="E38:H38" si="28">E28*E18</f>
        <v>0.001782517641</v>
      </c>
      <c r="F38" s="7">
        <f t="shared" si="28"/>
        <v>0.0007581641702</v>
      </c>
      <c r="G38" s="7">
        <f t="shared" si="28"/>
        <v>0.0002764049946</v>
      </c>
      <c r="H38" s="7">
        <f t="shared" si="28"/>
        <v>0.00008817319328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0.001782517641</v>
      </c>
      <c r="O38" s="7">
        <f>F28*E19</f>
        <v>0.0002051957339</v>
      </c>
      <c r="P38" s="7">
        <f>G28*E20</f>
        <v>0.00002024678301</v>
      </c>
      <c r="Q38" s="7">
        <f>H28*E21</f>
        <v>0.000001748041675</v>
      </c>
    </row>
    <row r="39">
      <c r="A39" s="2">
        <v>4.0</v>
      </c>
      <c r="B39" s="10">
        <f t="shared" si="23"/>
        <v>0.00005657418422</v>
      </c>
      <c r="C39" s="10">
        <f t="shared" si="24"/>
        <v>0.0001443773181</v>
      </c>
      <c r="D39" s="10"/>
      <c r="E39" s="10"/>
      <c r="F39" s="7">
        <f t="shared" ref="F39:H39" si="29">F29*F19</f>
        <v>0.0002618297565</v>
      </c>
      <c r="G39" s="7">
        <f t="shared" si="29"/>
        <v>0.00009545564836</v>
      </c>
      <c r="H39" s="7">
        <f t="shared" si="29"/>
        <v>0.00003045035183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0.0002618297565</v>
      </c>
      <c r="P39" s="7">
        <f>G29*F20</f>
        <v>0.00002583489512</v>
      </c>
      <c r="Q39" s="7">
        <f>H29*F21</f>
        <v>0.000002230501178</v>
      </c>
    </row>
    <row r="40">
      <c r="A40" s="2">
        <v>5.0</v>
      </c>
      <c r="B40" s="10">
        <f t="shared" si="23"/>
        <v>0.0000130251516</v>
      </c>
      <c r="C40" s="10">
        <f t="shared" si="24"/>
        <v>0.00003324018687</v>
      </c>
      <c r="D40" s="10"/>
      <c r="E40" s="10"/>
      <c r="F40" s="10"/>
      <c r="G40" s="7">
        <f t="shared" ref="G40:H40" si="30">G30*G20</f>
        <v>0.00002197688412</v>
      </c>
      <c r="H40" s="7">
        <f t="shared" si="30"/>
        <v>0.000007010626033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0.00002197688412</v>
      </c>
      <c r="Q40" s="7">
        <f>H30*G21</f>
        <v>0.000001897413002</v>
      </c>
    </row>
    <row r="41">
      <c r="A41" s="2">
        <v>6.0</v>
      </c>
      <c r="B41" s="10">
        <f t="shared" si="23"/>
        <v>0.000002249098813</v>
      </c>
      <c r="C41" s="10">
        <f t="shared" si="24"/>
        <v>0.000005739700171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28</v>
      </c>
      <c r="C1" s="1" t="s">
        <v>29</v>
      </c>
      <c r="D1" s="2" t="s">
        <v>2</v>
      </c>
      <c r="G1" s="2" t="str">
        <f t="shared" ref="G1:H1" si="1">B1</f>
        <v>getafe</v>
      </c>
      <c r="H1" s="2" t="str">
        <f t="shared" si="1"/>
        <v>barcelone</v>
      </c>
      <c r="J1" s="3" t="str">
        <f>G1</f>
        <v>getafe</v>
      </c>
      <c r="K1" s="3" t="s">
        <v>3</v>
      </c>
      <c r="L1" s="3" t="s">
        <v>4</v>
      </c>
      <c r="M1" s="3" t="s">
        <v>5</v>
      </c>
      <c r="N1" s="3" t="str">
        <f>H1</f>
        <v>barcelone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0.4179392510426042</v>
      </c>
      <c r="C2" s="1">
        <v>0.15320168853001398</v>
      </c>
      <c r="D2" s="2" t="s">
        <v>7</v>
      </c>
      <c r="E2" s="1">
        <v>2.5</v>
      </c>
      <c r="F2" s="2" t="s">
        <v>8</v>
      </c>
      <c r="G2" s="1">
        <v>6.05</v>
      </c>
      <c r="H2" s="1">
        <v>1.68</v>
      </c>
      <c r="J2" s="3"/>
      <c r="K2" s="4"/>
      <c r="L2" s="5">
        <v>2.5</v>
      </c>
      <c r="M2" s="6">
        <f t="shared" ref="M2:M11" si="3">IFERROR(-ln(1-(1/L2)),0)</f>
        <v>0.5108256238</v>
      </c>
      <c r="N2" s="3"/>
      <c r="O2" s="4"/>
      <c r="P2" s="5">
        <v>3.75</v>
      </c>
      <c r="Q2" s="6">
        <f t="shared" ref="Q2:Q11" si="4">IFERROR(-ln(1-(1/P2)),0)</f>
        <v>0.3101549283</v>
      </c>
    </row>
    <row r="3">
      <c r="A3" s="2" t="s">
        <v>5</v>
      </c>
      <c r="B3" s="7">
        <f t="shared" ref="B3:C3" si="2">-ln(B2)</f>
        <v>0.8724191895</v>
      </c>
      <c r="C3" s="7">
        <f t="shared" si="2"/>
        <v>1.876</v>
      </c>
      <c r="D3" s="2" t="s">
        <v>9</v>
      </c>
      <c r="E3" s="1">
        <v>1.93</v>
      </c>
      <c r="F3" s="2" t="s">
        <v>10</v>
      </c>
      <c r="G3" s="8">
        <f>1/(1/G2+SUM(D37:H40))</f>
        <v>5.5555418</v>
      </c>
      <c r="H3" s="8">
        <f>1/(1/H2+SUM(M37:Q40))</f>
        <v>1.647569275</v>
      </c>
      <c r="J3" s="3"/>
      <c r="K3" s="4"/>
      <c r="L3" s="5">
        <v>3.4</v>
      </c>
      <c r="M3" s="6">
        <f t="shared" si="3"/>
        <v>0.3483066943</v>
      </c>
      <c r="N3" s="3"/>
      <c r="O3" s="4"/>
      <c r="P3" s="5">
        <v>4.5</v>
      </c>
      <c r="Q3" s="6">
        <f t="shared" si="4"/>
        <v>0.2513144283</v>
      </c>
    </row>
    <row r="4">
      <c r="A4" s="2" t="s">
        <v>11</v>
      </c>
      <c r="J4" s="3"/>
      <c r="K4" s="4"/>
      <c r="L4" s="5">
        <v>3.6</v>
      </c>
      <c r="M4" s="6">
        <f t="shared" si="3"/>
        <v>0.3254224004</v>
      </c>
      <c r="N4" s="3"/>
      <c r="O4" s="4"/>
      <c r="P4" s="5">
        <v>6.0</v>
      </c>
      <c r="Q4" s="6">
        <f t="shared" si="4"/>
        <v>0.1823215568</v>
      </c>
    </row>
    <row r="5">
      <c r="A5" s="2">
        <v>1.0</v>
      </c>
      <c r="B5" s="7">
        <f t="shared" ref="B5:C5" si="5">((B$3^$A5)/FACT($A5))*EXP(-B$3)</f>
        <v>0.3646182226</v>
      </c>
      <c r="C5" s="7">
        <f t="shared" si="5"/>
        <v>0.2874063677</v>
      </c>
      <c r="D5" s="2">
        <v>1.5</v>
      </c>
      <c r="E5" s="7">
        <f>1/(B2*(C2+C5)+B5*C2)</f>
        <v>4.166535969</v>
      </c>
      <c r="J5" s="3"/>
      <c r="K5" s="4"/>
      <c r="L5" s="5">
        <v>4.0</v>
      </c>
      <c r="M5" s="6">
        <f t="shared" si="3"/>
        <v>0.2876820725</v>
      </c>
      <c r="N5" s="3"/>
      <c r="O5" s="4"/>
      <c r="P5" s="5">
        <v>10.0</v>
      </c>
      <c r="Q5" s="6">
        <f t="shared" si="4"/>
        <v>0.1053605157</v>
      </c>
    </row>
    <row r="6">
      <c r="A6" s="2">
        <v>2.0</v>
      </c>
      <c r="B6" s="7">
        <f t="shared" ref="B6:C6" si="6">((B$3^$A6)/FACT($A6))*EXP(-B$3)</f>
        <v>0.1590499671</v>
      </c>
      <c r="C6" s="7">
        <f t="shared" si="6"/>
        <v>0.2695871729</v>
      </c>
      <c r="D6" s="2">
        <v>2.5</v>
      </c>
      <c r="E6" s="7">
        <f>1/(B2*(C2+C5+C6)+B5*(C2+C5)+B6*C2)</f>
        <v>2.075382405</v>
      </c>
      <c r="F6" s="2" t="s">
        <v>12</v>
      </c>
      <c r="J6" s="3"/>
      <c r="K6" s="4"/>
      <c r="L6" s="5">
        <v>7.0</v>
      </c>
      <c r="M6" s="6">
        <f t="shared" si="3"/>
        <v>0.1541506798</v>
      </c>
      <c r="N6" s="3"/>
      <c r="O6" s="4"/>
      <c r="P6" s="5">
        <v>12.0</v>
      </c>
      <c r="Q6" s="6">
        <f t="shared" si="4"/>
        <v>0.08701137699</v>
      </c>
    </row>
    <row r="7">
      <c r="A7" s="2">
        <v>3.0</v>
      </c>
      <c r="B7" s="7">
        <f t="shared" ref="B7:C7" si="7">((B$3^$A7)/FACT($A7))*EXP(-B$3)</f>
        <v>0.0462527478</v>
      </c>
      <c r="C7" s="7">
        <f t="shared" si="7"/>
        <v>0.1685818454</v>
      </c>
      <c r="D7" s="2">
        <v>3.5</v>
      </c>
      <c r="E7" s="7">
        <f>1/(B2*(C2+C5+C6+C7)+B5*(C2+C5+C6)+B6*(C2+C5)+B7*C2)</f>
        <v>1.421685898</v>
      </c>
      <c r="F7" s="7" t="str">
        <f>B1</f>
        <v>getafe</v>
      </c>
      <c r="G7" s="2" t="s">
        <v>13</v>
      </c>
      <c r="H7" s="7" t="str">
        <f>C1</f>
        <v>barcelone</v>
      </c>
      <c r="J7" s="3"/>
      <c r="K7" s="4"/>
      <c r="L7" s="5">
        <v>8.0</v>
      </c>
      <c r="M7" s="6">
        <f t="shared" si="3"/>
        <v>0.1335313926</v>
      </c>
      <c r="N7" s="3"/>
      <c r="O7" s="4"/>
      <c r="P7" s="5">
        <v>15.0</v>
      </c>
      <c r="Q7" s="6">
        <f t="shared" si="4"/>
        <v>0.06899287149</v>
      </c>
    </row>
    <row r="8">
      <c r="A8" s="2">
        <v>4.0</v>
      </c>
      <c r="B8" s="7">
        <f t="shared" ref="B8:C8" si="8">((B$3^$A8)/FACT($A8))*EXP(-B$3)</f>
        <v>0.01008794619</v>
      </c>
      <c r="C8" s="7">
        <f t="shared" si="8"/>
        <v>0.07906488551</v>
      </c>
      <c r="D8" s="2">
        <v>4.5</v>
      </c>
      <c r="E8" s="7">
        <f>1/(B2*(C2+C5+C6+C7+C8)+B5*(C2+C5+C6+C7)+B6*(C2+C5+C6)+B7*(C2+C5)+B8*C2)</f>
        <v>1.168744175</v>
      </c>
      <c r="F8" s="7">
        <f>B5*C2+B6*(C5+C2)+B7*(C6+C5+C2)+B8*(C7+C6+C5+C2)+B9*(C8+C7+C6+C5+C2)+B10*(C9+C8+C7+C6+C5+C2)+B11*(C10+C9+C8+C7+C6+C5+C2)+B12*(C11+C10+C9+C8+C7+C6+C5+C2)</f>
        <v>0.1696263485</v>
      </c>
      <c r="G8" s="7">
        <f>B2*C2+B5*C5+B6*C6+B7*C7+B8*C8+B9*C9+B10*C10+B11*C11+B12*C12</f>
        <v>0.2203500761</v>
      </c>
      <c r="H8" s="7">
        <f>C5*B2+C6*(B5+B2)+C7*(B6+B5+B2)+C8*(B7+B6+B5+B2)+C9*(B8+B7+B6+B5+B2)+C10*(B9+B8+B7+B6+B5+B2)+C11*(B10+B9+B7+B8+B6+B5+B2)</f>
        <v>0.6092913966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12.0</v>
      </c>
      <c r="Q8" s="6">
        <f t="shared" si="4"/>
        <v>0.08701137699</v>
      </c>
    </row>
    <row r="9">
      <c r="A9" s="2">
        <v>5.0</v>
      </c>
      <c r="B9" s="7">
        <f t="shared" ref="B9:C9" si="9">((B$3^$A9)/FACT($A9))*EXP(-B$3)</f>
        <v>0.001760183567</v>
      </c>
      <c r="C9" s="7">
        <f t="shared" si="9"/>
        <v>0.02966514504</v>
      </c>
      <c r="F9" s="9">
        <f t="shared" ref="F9:H9" si="10">1/F8</f>
        <v>5.895310538</v>
      </c>
      <c r="G9" s="9">
        <f t="shared" si="10"/>
        <v>4.538233059</v>
      </c>
      <c r="H9" s="9">
        <f t="shared" si="10"/>
        <v>1.641250813</v>
      </c>
      <c r="J9" s="3"/>
      <c r="K9" s="4"/>
      <c r="L9" s="5">
        <v>10.0</v>
      </c>
      <c r="M9" s="6">
        <f t="shared" si="3"/>
        <v>0.1053605157</v>
      </c>
      <c r="N9" s="3"/>
      <c r="O9" s="4"/>
      <c r="P9" s="5">
        <v>20.0</v>
      </c>
      <c r="Q9" s="6">
        <f t="shared" si="4"/>
        <v>0.05129329439</v>
      </c>
    </row>
    <row r="10">
      <c r="A10" s="2">
        <v>6.0</v>
      </c>
      <c r="B10" s="7">
        <f t="shared" ref="B10:C10" si="11">((B$3^$A10)/FACT($A10))*EXP(-B$3)</f>
        <v>0.0002559363201</v>
      </c>
      <c r="C10" s="7">
        <f t="shared" si="11"/>
        <v>0.009275302017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20.0</v>
      </c>
      <c r="Q10" s="6">
        <f t="shared" si="4"/>
        <v>0.05129329439</v>
      </c>
    </row>
    <row r="11">
      <c r="A11" s="2">
        <v>7.0</v>
      </c>
      <c r="B11" s="7">
        <f t="shared" ref="B11:C11" si="12">((B$3^$A11)/FACT($A11))*EXP(-B$3)</f>
        <v>0.00003189767957</v>
      </c>
      <c r="C11" s="7">
        <f t="shared" si="12"/>
        <v>0.002485780941</v>
      </c>
      <c r="J11" s="3"/>
      <c r="K11" s="4"/>
      <c r="L11" s="5">
        <v>20.0</v>
      </c>
      <c r="M11" s="6">
        <f t="shared" si="3"/>
        <v>0.05129329439</v>
      </c>
      <c r="N11" s="3"/>
      <c r="O11" s="4"/>
      <c r="P11" s="5">
        <v>20.0</v>
      </c>
      <c r="Q11" s="6">
        <f t="shared" si="4"/>
        <v>0.05129329439</v>
      </c>
    </row>
    <row r="12">
      <c r="A12" s="2">
        <v>8.0</v>
      </c>
      <c r="B12" s="7">
        <f t="shared" ref="B12:C12" si="13">((B$3^$A12)/FACT($A12))*EXP(-B$3)</f>
        <v>0.000003478518469</v>
      </c>
      <c r="C12" s="7">
        <f t="shared" si="13"/>
        <v>0.0005829156306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barcelone</v>
      </c>
      <c r="J13" s="3"/>
      <c r="K13" s="3"/>
      <c r="L13" s="3" t="s">
        <v>14</v>
      </c>
      <c r="M13" s="6">
        <f>SUM(M2:M11)</f>
        <v>2.167887102</v>
      </c>
      <c r="N13" s="3"/>
      <c r="O13" s="3"/>
      <c r="P13" s="3" t="s">
        <v>14</v>
      </c>
      <c r="Q13" s="6">
        <f>SUM(Q2:Q11)</f>
        <v>1.246046938</v>
      </c>
    </row>
    <row r="14">
      <c r="A14" s="7" t="str">
        <f>B1</f>
        <v>getafe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1.94224042</v>
      </c>
      <c r="N14" s="3"/>
      <c r="O14" s="3"/>
      <c r="P14" s="3" t="s">
        <v>15</v>
      </c>
      <c r="Q14" s="6">
        <f>SUM(Q2:Q8)</f>
        <v>1.092167055</v>
      </c>
    </row>
    <row r="15">
      <c r="A15" s="2">
        <v>0.0</v>
      </c>
      <c r="B15" s="7">
        <f>B2*$C$2</f>
        <v>0.06402899896</v>
      </c>
      <c r="C15" s="7">
        <f>C5*B2</f>
        <v>0.1201184021</v>
      </c>
      <c r="D15" s="7">
        <f>C6*B2</f>
        <v>0.1126710611</v>
      </c>
      <c r="E15" s="7">
        <f>C7*B2</f>
        <v>0.07045697022</v>
      </c>
      <c r="F15" s="7">
        <f>C8*B2</f>
        <v>0.03304431904</v>
      </c>
      <c r="G15" s="7">
        <f>C9*B2</f>
        <v>0.0123982285</v>
      </c>
      <c r="H15" s="7">
        <f>$C$10*B2</f>
        <v>0.003876512778</v>
      </c>
    </row>
    <row r="16">
      <c r="A16" s="2">
        <v>1.0</v>
      </c>
      <c r="B16" s="7">
        <f t="shared" ref="B16:B21" si="14">B5*$C$2</f>
        <v>0.05586012738</v>
      </c>
      <c r="C16" s="7">
        <f t="shared" ref="C16:C21" si="15">$C$5*B5</f>
        <v>0.104793599</v>
      </c>
      <c r="D16" s="7">
        <f t="shared" ref="D16:D21" si="16">$C$6*B5</f>
        <v>0.09829639582</v>
      </c>
      <c r="E16" s="7">
        <f t="shared" ref="E16:E21" si="17">$C$7*B5</f>
        <v>0.06146801285</v>
      </c>
      <c r="F16" s="7">
        <f t="shared" ref="F16:F21" si="18">$C$8*B5</f>
        <v>0.02882849803</v>
      </c>
      <c r="G16" s="7">
        <f t="shared" ref="G16:G21" si="19">$C$9*B5</f>
        <v>0.01081645246</v>
      </c>
      <c r="H16" s="7">
        <f t="shared" ref="H16:H21" si="20">$C$10*B5</f>
        <v>0.003381944136</v>
      </c>
    </row>
    <row r="17">
      <c r="A17" s="2">
        <v>2.0</v>
      </c>
      <c r="B17" s="7">
        <f t="shared" si="14"/>
        <v>0.02436672352</v>
      </c>
      <c r="C17" s="7">
        <f t="shared" si="15"/>
        <v>0.04571197333</v>
      </c>
      <c r="D17" s="7">
        <f t="shared" si="16"/>
        <v>0.04287783099</v>
      </c>
      <c r="E17" s="7">
        <f t="shared" si="17"/>
        <v>0.02681293698</v>
      </c>
      <c r="F17" s="7">
        <f t="shared" si="18"/>
        <v>0.01257526744</v>
      </c>
      <c r="G17" s="7">
        <f t="shared" si="19"/>
        <v>0.004718240344</v>
      </c>
      <c r="H17" s="7">
        <f t="shared" si="20"/>
        <v>0.001475236481</v>
      </c>
    </row>
    <row r="18">
      <c r="A18" s="2">
        <v>3.0</v>
      </c>
      <c r="B18" s="7">
        <f t="shared" si="14"/>
        <v>0.007085999062</v>
      </c>
      <c r="C18" s="7">
        <f t="shared" si="15"/>
        <v>0.01329333424</v>
      </c>
      <c r="D18" s="7">
        <f t="shared" si="16"/>
        <v>0.01246914752</v>
      </c>
      <c r="E18" s="7">
        <f t="shared" si="17"/>
        <v>0.007797373581</v>
      </c>
      <c r="F18" s="7">
        <f t="shared" si="18"/>
        <v>0.00365696821</v>
      </c>
      <c r="G18" s="7">
        <f t="shared" si="19"/>
        <v>0.001372094472</v>
      </c>
      <c r="H18" s="7">
        <f t="shared" si="20"/>
        <v>0.000429008205</v>
      </c>
    </row>
    <row r="19">
      <c r="A19" s="2">
        <v>4.0</v>
      </c>
      <c r="B19" s="7">
        <f t="shared" si="14"/>
        <v>0.00154549039</v>
      </c>
      <c r="C19" s="7">
        <f t="shared" si="15"/>
        <v>0.002899339971</v>
      </c>
      <c r="D19" s="7">
        <f t="shared" si="16"/>
        <v>0.002719580893</v>
      </c>
      <c r="E19" s="7">
        <f t="shared" si="17"/>
        <v>0.001700644585</v>
      </c>
      <c r="F19" s="7">
        <f t="shared" si="18"/>
        <v>0.0007976023103</v>
      </c>
      <c r="G19" s="7">
        <f t="shared" si="19"/>
        <v>0.0002992603868</v>
      </c>
      <c r="H19" s="7">
        <f t="shared" si="20"/>
        <v>0.00009356874761</v>
      </c>
    </row>
    <row r="20">
      <c r="A20" s="2">
        <v>5.0</v>
      </c>
      <c r="B20" s="7">
        <f t="shared" si="14"/>
        <v>0.0002696630946</v>
      </c>
      <c r="C20" s="7">
        <f t="shared" si="15"/>
        <v>0.0005058879655</v>
      </c>
      <c r="D20" s="7">
        <f t="shared" si="16"/>
        <v>0.0004745229116</v>
      </c>
      <c r="E20" s="7">
        <f t="shared" si="17"/>
        <v>0.0002967349941</v>
      </c>
      <c r="F20" s="7">
        <f t="shared" si="18"/>
        <v>0.0001391687122</v>
      </c>
      <c r="G20" s="7">
        <f t="shared" si="19"/>
        <v>0.00005221610082</v>
      </c>
      <c r="H20" s="7">
        <f t="shared" si="20"/>
        <v>0.00001632623419</v>
      </c>
    </row>
    <row r="21">
      <c r="A21" s="2">
        <v>6.0</v>
      </c>
      <c r="B21" s="7">
        <f t="shared" si="14"/>
        <v>0.0000392098764</v>
      </c>
      <c r="C21" s="7">
        <f t="shared" si="15"/>
        <v>0.00007355772813</v>
      </c>
      <c r="D21" s="7">
        <f t="shared" si="16"/>
        <v>0.00006899714899</v>
      </c>
      <c r="E21" s="7">
        <f t="shared" si="17"/>
        <v>0.00004314621717</v>
      </c>
      <c r="F21" s="7">
        <f t="shared" si="18"/>
        <v>0.00002023557585</v>
      </c>
      <c r="G21" s="7">
        <f t="shared" si="19"/>
        <v>0.000007592388059</v>
      </c>
      <c r="H21" s="7">
        <f t="shared" si="20"/>
        <v>0.000002373886667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0.0000005329149031</v>
      </c>
      <c r="C25" s="10">
        <f>C15*B12</f>
        <v>0.00000041783408</v>
      </c>
      <c r="D25" s="10">
        <f>C16*B12</f>
        <v>0.0000003645264694</v>
      </c>
      <c r="E25" s="10">
        <f>C17*B12</f>
        <v>0.0000001590099435</v>
      </c>
      <c r="F25" s="10">
        <f>C18*B12</f>
        <v>0.00000004624110867</v>
      </c>
      <c r="G25" s="10">
        <f>C19*B12</f>
        <v>0.00000001008540764</v>
      </c>
      <c r="H25" s="10">
        <f>$C$10*B12</f>
        <v>0.00000003226430937</v>
      </c>
    </row>
    <row r="26">
      <c r="A26" s="2">
        <v>1.0</v>
      </c>
      <c r="B26" s="10">
        <f t="shared" ref="B26:B31" si="21">B15*$C$2</f>
        <v>0.009809350756</v>
      </c>
      <c r="C26" s="10">
        <f t="shared" ref="C26:C31" si="22">$C$5*B15</f>
        <v>0.01840234202</v>
      </c>
      <c r="D26" s="10">
        <f>$C$6*B15</f>
        <v>0.01726139681</v>
      </c>
      <c r="E26" s="10">
        <f>$C$7*B15</f>
        <v>0.01079412681</v>
      </c>
      <c r="F26" s="10">
        <f>$C$8*B15</f>
        <v>0.005062445473</v>
      </c>
      <c r="G26" s="10">
        <f>$C$9*B15</f>
        <v>0.001899429541</v>
      </c>
      <c r="H26" s="10">
        <f>$C$10*B15</f>
        <v>0.0005938883032</v>
      </c>
    </row>
    <row r="27">
      <c r="A27" s="2">
        <v>2.0</v>
      </c>
      <c r="B27" s="10">
        <f t="shared" si="21"/>
        <v>0.008557865836</v>
      </c>
      <c r="C27" s="10">
        <f t="shared" si="22"/>
        <v>0.01605455631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0.003733023188</v>
      </c>
      <c r="C28" s="10">
        <f t="shared" si="22"/>
        <v>0.0070031515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0.001085587021</v>
      </c>
      <c r="C29" s="10">
        <f t="shared" si="22"/>
        <v>0.002036561252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0.0002367717373</v>
      </c>
      <c r="C30" s="10">
        <f t="shared" si="22"/>
        <v>0.0004441837792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0.00004131284143</v>
      </c>
      <c r="C31" s="10">
        <f t="shared" si="22"/>
        <v>0.00007750289052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getafe</v>
      </c>
      <c r="J33" s="2" t="s">
        <v>17</v>
      </c>
      <c r="K33" s="7" t="str">
        <f>B13</f>
        <v>barcelone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0.00000008164346299</v>
      </c>
      <c r="C36" s="10">
        <f t="shared" ref="C36:C41" si="24">$C$5*B25</f>
        <v>0.0000001531631366</v>
      </c>
      <c r="D36" s="10">
        <f>$C$6*B25</f>
        <v>0.0000001436670221</v>
      </c>
      <c r="E36" s="10">
        <f>$C$7*B25</f>
        <v>0.00000008983977782</v>
      </c>
      <c r="F36" s="10">
        <f>$C$8*B25</f>
        <v>0.0000000421348558</v>
      </c>
      <c r="G36" s="10">
        <f>$C$9*B25</f>
        <v>0.0000000158089979</v>
      </c>
      <c r="H36" s="10">
        <f>$C$10*B25</f>
        <v>0.000000004942946675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0.001502809099</v>
      </c>
      <c r="C37" s="10">
        <f t="shared" si="24"/>
        <v>0.00281926987</v>
      </c>
      <c r="D37" s="7">
        <f t="shared" ref="D37:H37" si="25">D27*D17</f>
        <v>0.007146305164</v>
      </c>
      <c r="E37" s="7">
        <f t="shared" si="25"/>
        <v>0.002681293698</v>
      </c>
      <c r="F37" s="7">
        <f t="shared" si="25"/>
        <v>0.0008383511628</v>
      </c>
      <c r="G37" s="7">
        <f t="shared" si="25"/>
        <v>0.0002246781116</v>
      </c>
      <c r="H37" s="7">
        <f t="shared" si="25"/>
        <v>0.00005268701718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0.007146305164</v>
      </c>
      <c r="N37" s="7">
        <f>E27*D18</f>
        <v>0.001246914752</v>
      </c>
      <c r="O37" s="7">
        <f>F27*D19</f>
        <v>0.0001813053928</v>
      </c>
      <c r="P37" s="7">
        <f>G27*D20</f>
        <v>0.00002259632912</v>
      </c>
      <c r="Q37" s="7">
        <f>H27*D21</f>
        <v>0.000002464183892</v>
      </c>
    </row>
    <row r="38">
      <c r="A38" s="2">
        <v>3.0</v>
      </c>
      <c r="B38" s="10">
        <f t="shared" si="23"/>
        <v>0.001311079496</v>
      </c>
      <c r="C38" s="10">
        <f t="shared" si="24"/>
        <v>0.002459585135</v>
      </c>
      <c r="D38" s="10"/>
      <c r="E38" s="7">
        <f t="shared" ref="E38:H38" si="28">E28*E18</f>
        <v>0.002339212074</v>
      </c>
      <c r="F38" s="7">
        <f t="shared" si="28"/>
        <v>0.0007313936419</v>
      </c>
      <c r="G38" s="7">
        <f t="shared" si="28"/>
        <v>0.000196013496</v>
      </c>
      <c r="H38" s="7">
        <f t="shared" si="28"/>
        <v>0.00004596516482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0.002339212074</v>
      </c>
      <c r="O38" s="7">
        <f>F28*E19</f>
        <v>0.000340128917</v>
      </c>
      <c r="P38" s="7">
        <f>G28*E20</f>
        <v>0.00004239071344</v>
      </c>
      <c r="Q38" s="7">
        <f>H28*E21</f>
        <v>0.000004622808982</v>
      </c>
    </row>
    <row r="39">
      <c r="A39" s="2">
        <v>4.0</v>
      </c>
      <c r="B39" s="10">
        <f t="shared" si="23"/>
        <v>0.0005719054557</v>
      </c>
      <c r="C39" s="10">
        <f t="shared" si="24"/>
        <v>0.001072894635</v>
      </c>
      <c r="D39" s="10"/>
      <c r="E39" s="10"/>
      <c r="F39" s="7">
        <f t="shared" ref="F39:H39" si="29">F29*F19</f>
        <v>0.0003190409241</v>
      </c>
      <c r="G39" s="7">
        <f t="shared" si="29"/>
        <v>0.00008550296767</v>
      </c>
      <c r="H39" s="7">
        <f t="shared" si="29"/>
        <v>0.00002005044592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0.0003190409241</v>
      </c>
      <c r="P39" s="7">
        <f>G29*F20</f>
        <v>0.0000397624892</v>
      </c>
      <c r="Q39" s="7">
        <f>H29*F21</f>
        <v>0.000004336194825</v>
      </c>
    </row>
    <row r="40">
      <c r="A40" s="2">
        <v>5.0</v>
      </c>
      <c r="B40" s="10">
        <f t="shared" si="23"/>
        <v>0.0001663137647</v>
      </c>
      <c r="C40" s="10">
        <f t="shared" si="24"/>
        <v>0.0003120046226</v>
      </c>
      <c r="D40" s="10"/>
      <c r="E40" s="10"/>
      <c r="F40" s="10"/>
      <c r="G40" s="7">
        <f t="shared" ref="G40:H40" si="30">G30*G20</f>
        <v>0.00002486480992</v>
      </c>
      <c r="H40" s="7">
        <f t="shared" si="30"/>
        <v>0.000005830797925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0.00002486480992</v>
      </c>
      <c r="Q40" s="7">
        <f>H30*G21</f>
        <v>0.000002711567164</v>
      </c>
    </row>
    <row r="41">
      <c r="A41" s="2">
        <v>6.0</v>
      </c>
      <c r="B41" s="10">
        <f t="shared" si="23"/>
        <v>0.00003627382995</v>
      </c>
      <c r="C41" s="10">
        <f t="shared" si="24"/>
        <v>0.00006804970498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30</v>
      </c>
      <c r="C1" s="1" t="s">
        <v>31</v>
      </c>
      <c r="D1" s="2" t="s">
        <v>2</v>
      </c>
      <c r="G1" s="2" t="str">
        <f t="shared" ref="G1:H1" si="1">B1</f>
        <v>werder</v>
      </c>
      <c r="H1" s="2" t="str">
        <f t="shared" si="1"/>
        <v>hambourg</v>
      </c>
      <c r="J1" s="3" t="str">
        <f>G1</f>
        <v>werder</v>
      </c>
      <c r="K1" s="3" t="s">
        <v>3</v>
      </c>
      <c r="L1" s="3" t="s">
        <v>4</v>
      </c>
      <c r="M1" s="3" t="s">
        <v>5</v>
      </c>
      <c r="N1" s="3" t="str">
        <f>H1</f>
        <v>hambourg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0.15819555208045444</v>
      </c>
      <c r="C2" s="1">
        <v>0.3362164937067331</v>
      </c>
      <c r="D2" s="2" t="s">
        <v>7</v>
      </c>
      <c r="E2" s="1">
        <v>2.5</v>
      </c>
      <c r="F2" s="2" t="s">
        <v>8</v>
      </c>
      <c r="G2" s="1">
        <v>1.89</v>
      </c>
      <c r="H2" s="1">
        <v>4.68</v>
      </c>
      <c r="J2" s="3"/>
      <c r="K2" s="4"/>
      <c r="L2" s="5">
        <v>1.95</v>
      </c>
      <c r="M2" s="6">
        <f t="shared" ref="M2:M11" si="3">IFERROR(-ln(1-(1/L2)),0)</f>
        <v>0.719122667</v>
      </c>
      <c r="N2" s="3"/>
      <c r="O2" s="4"/>
      <c r="P2" s="5"/>
      <c r="Q2" s="6">
        <f t="shared" ref="Q2:Q11" si="4">IFERROR(-ln(1-(1/P2)),0)</f>
        <v>0</v>
      </c>
    </row>
    <row r="3">
      <c r="A3" s="2" t="s">
        <v>5</v>
      </c>
      <c r="B3" s="7">
        <f t="shared" ref="B3:C3" si="2">-ln(B2)</f>
        <v>1.84392334</v>
      </c>
      <c r="C3" s="7">
        <f t="shared" si="2"/>
        <v>1.09</v>
      </c>
      <c r="D3" s="2" t="s">
        <v>9</v>
      </c>
      <c r="E3" s="1">
        <v>1.78</v>
      </c>
      <c r="F3" s="2" t="s">
        <v>10</v>
      </c>
      <c r="G3" s="8">
        <f>1/(1/G2+SUM(D37:H40))</f>
        <v>1.832962608</v>
      </c>
      <c r="H3" s="8">
        <f>1/(1/H2+SUM(M37:Q40))</f>
        <v>4.288076235</v>
      </c>
      <c r="J3" s="3"/>
      <c r="K3" s="4"/>
      <c r="L3" s="5">
        <v>2.15</v>
      </c>
      <c r="M3" s="6">
        <f t="shared" si="3"/>
        <v>0.6257058998</v>
      </c>
      <c r="N3" s="3"/>
      <c r="O3" s="4"/>
      <c r="P3" s="5"/>
      <c r="Q3" s="6">
        <f t="shared" si="4"/>
        <v>0</v>
      </c>
    </row>
    <row r="4">
      <c r="A4" s="2" t="s">
        <v>11</v>
      </c>
      <c r="J4" s="3"/>
      <c r="K4" s="4"/>
      <c r="L4" s="5">
        <v>3.5</v>
      </c>
      <c r="M4" s="6">
        <f t="shared" si="3"/>
        <v>0.3364722366</v>
      </c>
      <c r="N4" s="3"/>
      <c r="O4" s="4"/>
      <c r="P4" s="5"/>
      <c r="Q4" s="6">
        <f t="shared" si="4"/>
        <v>0</v>
      </c>
    </row>
    <row r="5">
      <c r="A5" s="2">
        <v>1.0</v>
      </c>
      <c r="B5" s="7">
        <f t="shared" ref="B5:C5" si="5">((B$3^$A5)/FACT($A5))*EXP(-B$3)</f>
        <v>0.2917004707</v>
      </c>
      <c r="C5" s="7">
        <f t="shared" si="5"/>
        <v>0.3664759781</v>
      </c>
      <c r="D5" s="2">
        <v>1.5</v>
      </c>
      <c r="E5" s="7">
        <f>1/(B2*(C2+C5)+B5*C2)</f>
        <v>4.779261834</v>
      </c>
      <c r="J5" s="3"/>
      <c r="K5" s="4"/>
      <c r="L5" s="5">
        <v>4.0</v>
      </c>
      <c r="M5" s="6">
        <f t="shared" si="3"/>
        <v>0.2876820725</v>
      </c>
      <c r="N5" s="3"/>
      <c r="O5" s="4"/>
      <c r="P5" s="5"/>
      <c r="Q5" s="6">
        <f t="shared" si="4"/>
        <v>0</v>
      </c>
    </row>
    <row r="6">
      <c r="A6" s="2">
        <v>2.0</v>
      </c>
      <c r="B6" s="7">
        <f t="shared" ref="B6:C6" si="6">((B$3^$A6)/FACT($A6))*EXP(-B$3)</f>
        <v>0.2689366531</v>
      </c>
      <c r="C6" s="7">
        <f t="shared" si="6"/>
        <v>0.1997294081</v>
      </c>
      <c r="D6" s="2">
        <v>2.5</v>
      </c>
      <c r="E6" s="7">
        <f>1/(B2*(C2+C5+C6)+B5*(C2+C5)+B6*C2)</f>
        <v>2.282293241</v>
      </c>
      <c r="F6" s="2" t="s">
        <v>12</v>
      </c>
      <c r="J6" s="3"/>
      <c r="K6" s="4"/>
      <c r="L6" s="5">
        <v>4.5</v>
      </c>
      <c r="M6" s="6">
        <f t="shared" si="3"/>
        <v>0.2513144283</v>
      </c>
      <c r="N6" s="3"/>
      <c r="O6" s="4"/>
      <c r="P6" s="5"/>
      <c r="Q6" s="6">
        <f t="shared" si="4"/>
        <v>0</v>
      </c>
    </row>
    <row r="7">
      <c r="A7" s="2">
        <v>3.0</v>
      </c>
      <c r="B7" s="7">
        <f t="shared" ref="B7:C7" si="7">((B$3^$A7)/FACT($A7))*EXP(-B$3)</f>
        <v>0.1652995239</v>
      </c>
      <c r="C7" s="7">
        <f t="shared" si="7"/>
        <v>0.0725683516</v>
      </c>
      <c r="D7" s="2">
        <v>3.5</v>
      </c>
      <c r="E7" s="7">
        <f>1/(B2*(C2+C5+C6+C7)+B5*(C2+C5+C6)+B6*(C2+C5)+B7*C2)</f>
        <v>1.510500563</v>
      </c>
      <c r="F7" s="7" t="str">
        <f>B1</f>
        <v>werder</v>
      </c>
      <c r="G7" s="2" t="s">
        <v>13</v>
      </c>
      <c r="H7" s="7" t="str">
        <f>C1</f>
        <v>hambourg</v>
      </c>
      <c r="J7" s="3"/>
      <c r="K7" s="4"/>
      <c r="L7" s="5">
        <v>3.5</v>
      </c>
      <c r="M7" s="6">
        <f t="shared" si="3"/>
        <v>0.3364722366</v>
      </c>
      <c r="N7" s="3"/>
      <c r="O7" s="4"/>
      <c r="P7" s="5"/>
      <c r="Q7" s="6">
        <f t="shared" si="4"/>
        <v>0</v>
      </c>
    </row>
    <row r="8">
      <c r="A8" s="2">
        <v>4.0</v>
      </c>
      <c r="B8" s="7">
        <f t="shared" ref="B8:C8" si="8">((B$3^$A8)/FACT($A8))*EXP(-B$3)</f>
        <v>0.07619991254</v>
      </c>
      <c r="C8" s="7">
        <f t="shared" si="8"/>
        <v>0.01977487581</v>
      </c>
      <c r="D8" s="2">
        <v>4.5</v>
      </c>
      <c r="E8" s="7">
        <f>1/(B2*(C2+C5+C6+C7+C8)+B5*(C2+C5+C6+C7)+B6*(C2+C5+C6)+B7*(C2+C5)+B8*C2)</f>
        <v>1.21030027</v>
      </c>
      <c r="F8" s="7">
        <f>B5*C2+B6*(C5+C2)+B7*(C6+C5+C2)+B8*(C7+C6+C5+C2)+B9*(C8+C7+C6+C5+C2)+B10*(C9+C8+C7+C6+C5+C2)+B11*(C10+C9+C8+C7+C6+C5+C2)+B12*(C11+C10+C9+C8+C7+C6+C5+C2)</f>
        <v>0.549899668</v>
      </c>
      <c r="G8" s="7">
        <f>B2*C2+B5*C5+B6*C6+B7*C7+B8*C8+B9*C9+B10*C10+B11*C11+B12*C12</f>
        <v>0.2274342778</v>
      </c>
      <c r="H8" s="7">
        <f>C5*B2+C6*(B5+B2)+C7*(B6+B5+B2)+C8*(B7+B6+B5+B2)+C9*(B8+B7+B6+B5+B2)+C10*(B9+B8+B7+B6+B5+B2)+C11*(B10+B9+B7+B8+B6+B5+B2)</f>
        <v>0.2225160437</v>
      </c>
      <c r="J8" s="3"/>
      <c r="K8" s="4"/>
      <c r="L8" s="5">
        <v>9.0</v>
      </c>
      <c r="M8" s="6">
        <f t="shared" si="3"/>
        <v>0.1177830357</v>
      </c>
      <c r="N8" s="3"/>
      <c r="O8" s="4"/>
      <c r="P8" s="5"/>
      <c r="Q8" s="6">
        <f t="shared" si="4"/>
        <v>0</v>
      </c>
    </row>
    <row r="9">
      <c r="A9" s="2">
        <v>5.0</v>
      </c>
      <c r="B9" s="7">
        <f t="shared" ref="B9:C9" si="9">((B$3^$A9)/FACT($A9))*EXP(-B$3)</f>
        <v>0.02810135944</v>
      </c>
      <c r="C9" s="7">
        <f t="shared" si="9"/>
        <v>0.004310922927</v>
      </c>
      <c r="F9" s="9">
        <f t="shared" ref="F9:H9" si="10">1/F8</f>
        <v>1.818513555</v>
      </c>
      <c r="G9" s="9">
        <f t="shared" si="10"/>
        <v>4.396874603</v>
      </c>
      <c r="H9" s="9">
        <f t="shared" si="10"/>
        <v>4.494057972</v>
      </c>
      <c r="J9" s="3"/>
      <c r="K9" s="4"/>
      <c r="L9" s="5">
        <v>9.0</v>
      </c>
      <c r="M9" s="6">
        <f t="shared" si="3"/>
        <v>0.1177830357</v>
      </c>
      <c r="N9" s="3"/>
      <c r="O9" s="4"/>
      <c r="P9" s="5"/>
      <c r="Q9" s="6">
        <f t="shared" si="4"/>
        <v>0</v>
      </c>
    </row>
    <row r="10">
      <c r="A10" s="2">
        <v>6.0</v>
      </c>
      <c r="B10" s="7">
        <f t="shared" ref="B10:C10" si="11">((B$3^$A10)/FACT($A10))*EXP(-B$3)</f>
        <v>0.008636125427</v>
      </c>
      <c r="C10" s="7">
        <f t="shared" si="11"/>
        <v>0.0007831509984</v>
      </c>
      <c r="J10" s="3"/>
      <c r="K10" s="4"/>
      <c r="L10" s="5">
        <v>10.0</v>
      </c>
      <c r="M10" s="6">
        <f t="shared" si="3"/>
        <v>0.1053605157</v>
      </c>
      <c r="N10" s="3"/>
      <c r="O10" s="4"/>
      <c r="P10" s="5"/>
      <c r="Q10" s="6">
        <f t="shared" si="4"/>
        <v>0</v>
      </c>
    </row>
    <row r="11">
      <c r="A11" s="2">
        <v>7.0</v>
      </c>
      <c r="B11" s="7">
        <f t="shared" ref="B11:C11" si="12">((B$3^$A11)/FACT($A11))*EXP(-B$3)</f>
        <v>0.002274907606</v>
      </c>
      <c r="C11" s="7">
        <f t="shared" si="12"/>
        <v>0.0001219477983</v>
      </c>
      <c r="J11" s="3"/>
      <c r="K11" s="4"/>
      <c r="L11" s="5">
        <v>10.0</v>
      </c>
      <c r="M11" s="6">
        <f t="shared" si="3"/>
        <v>0.1053605157</v>
      </c>
      <c r="N11" s="3"/>
      <c r="O11" s="4"/>
      <c r="P11" s="5"/>
      <c r="Q11" s="6">
        <f t="shared" si="4"/>
        <v>0</v>
      </c>
    </row>
    <row r="12">
      <c r="A12" s="2">
        <v>8.0</v>
      </c>
      <c r="B12" s="7">
        <f t="shared" ref="B12:C12" si="13">((B$3^$A12)/FACT($A12))*EXP(-B$3)</f>
        <v>0.0005243444038</v>
      </c>
      <c r="C12" s="7">
        <f t="shared" si="13"/>
        <v>0.00001661538752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hambourg</v>
      </c>
      <c r="J13" s="3"/>
      <c r="K13" s="3"/>
      <c r="L13" s="3" t="s">
        <v>14</v>
      </c>
      <c r="M13" s="6">
        <f>SUM(M2:M11)</f>
        <v>3.003056643</v>
      </c>
      <c r="N13" s="3"/>
      <c r="O13" s="3"/>
      <c r="P13" s="3" t="s">
        <v>14</v>
      </c>
      <c r="Q13" s="6">
        <f>SUM(Q2:Q11)</f>
        <v>0</v>
      </c>
    </row>
    <row r="14">
      <c r="A14" s="7" t="str">
        <f>B1</f>
        <v>werder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2.674552576</v>
      </c>
      <c r="N14" s="3"/>
      <c r="O14" s="3"/>
      <c r="P14" s="3" t="s">
        <v>15</v>
      </c>
      <c r="Q14" s="6">
        <f>SUM(Q2:Q8)</f>
        <v>0</v>
      </c>
    </row>
    <row r="15">
      <c r="A15" s="2">
        <v>0.0</v>
      </c>
      <c r="B15" s="7">
        <f>B2*$C$2</f>
        <v>0.05318795384</v>
      </c>
      <c r="C15" s="7">
        <f>C5*B2</f>
        <v>0.05797486969</v>
      </c>
      <c r="D15" s="7">
        <f>C6*B2</f>
        <v>0.03159630398</v>
      </c>
      <c r="E15" s="7">
        <f>C7*B2</f>
        <v>0.01147999045</v>
      </c>
      <c r="F15" s="7">
        <f>C8*B2</f>
        <v>0.003128297396</v>
      </c>
      <c r="G15" s="7">
        <f>C9*B2</f>
        <v>0.0006819688324</v>
      </c>
      <c r="H15" s="7">
        <f>$C$10*B2</f>
        <v>0.0001238910046</v>
      </c>
    </row>
    <row r="16">
      <c r="A16" s="2">
        <v>1.0</v>
      </c>
      <c r="B16" s="7">
        <f t="shared" ref="B16:B21" si="14">B5*$C$2</f>
        <v>0.09807450949</v>
      </c>
      <c r="C16" s="7">
        <f t="shared" ref="C16:C21" si="15">$C$5*B5</f>
        <v>0.1069012153</v>
      </c>
      <c r="D16" s="7">
        <f t="shared" ref="D16:D21" si="16">$C$6*B5</f>
        <v>0.05826116236</v>
      </c>
      <c r="E16" s="7">
        <f t="shared" ref="E16:E21" si="17">$C$7*B5</f>
        <v>0.02116822232</v>
      </c>
      <c r="F16" s="7">
        <f t="shared" ref="F16:F21" si="18">$C$8*B5</f>
        <v>0.005768340583</v>
      </c>
      <c r="G16" s="7">
        <f t="shared" ref="G16:G21" si="19">$C$9*B5</f>
        <v>0.001257498247</v>
      </c>
      <c r="H16" s="7">
        <f t="shared" ref="H16:H21" si="20">$C$10*B5</f>
        <v>0.0002284455149</v>
      </c>
    </row>
    <row r="17">
      <c r="A17" s="2">
        <v>2.0</v>
      </c>
      <c r="B17" s="7">
        <f t="shared" si="14"/>
        <v>0.09042093854</v>
      </c>
      <c r="C17" s="7">
        <f t="shared" si="15"/>
        <v>0.09855882301</v>
      </c>
      <c r="D17" s="7">
        <f t="shared" si="16"/>
        <v>0.05371455854</v>
      </c>
      <c r="E17" s="7">
        <f t="shared" si="17"/>
        <v>0.0195162896</v>
      </c>
      <c r="F17" s="7">
        <f t="shared" si="18"/>
        <v>0.005318188917</v>
      </c>
      <c r="G17" s="7">
        <f t="shared" si="19"/>
        <v>0.001159365184</v>
      </c>
      <c r="H17" s="7">
        <f t="shared" si="20"/>
        <v>0.0002106180084</v>
      </c>
    </row>
    <row r="18">
      <c r="A18" s="2">
        <v>3.0</v>
      </c>
      <c r="B18" s="7">
        <f t="shared" si="14"/>
        <v>0.05557642633</v>
      </c>
      <c r="C18" s="7">
        <f t="shared" si="15"/>
        <v>0.0605783047</v>
      </c>
      <c r="D18" s="7">
        <f t="shared" si="16"/>
        <v>0.03301517606</v>
      </c>
      <c r="E18" s="7">
        <f t="shared" si="17"/>
        <v>0.01199551397</v>
      </c>
      <c r="F18" s="7">
        <f t="shared" si="18"/>
        <v>0.003268777556</v>
      </c>
      <c r="G18" s="7">
        <f t="shared" si="19"/>
        <v>0.0007125935073</v>
      </c>
      <c r="H18" s="7">
        <f t="shared" si="20"/>
        <v>0.0001294544872</v>
      </c>
    </row>
    <row r="19">
      <c r="A19" s="2">
        <v>4.0</v>
      </c>
      <c r="B19" s="7">
        <f t="shared" si="14"/>
        <v>0.02561966741</v>
      </c>
      <c r="C19" s="7">
        <f t="shared" si="15"/>
        <v>0.02792543748</v>
      </c>
      <c r="D19" s="7">
        <f t="shared" si="16"/>
        <v>0.01521936343</v>
      </c>
      <c r="E19" s="7">
        <f t="shared" si="17"/>
        <v>0.005529702045</v>
      </c>
      <c r="F19" s="7">
        <f t="shared" si="18"/>
        <v>0.001506843807</v>
      </c>
      <c r="G19" s="7">
        <f t="shared" si="19"/>
        <v>0.00032849195</v>
      </c>
      <c r="H19" s="7">
        <f t="shared" si="20"/>
        <v>0.00005967603758</v>
      </c>
    </row>
    <row r="20">
      <c r="A20" s="2">
        <v>5.0</v>
      </c>
      <c r="B20" s="7">
        <f t="shared" si="14"/>
        <v>0.009448140541</v>
      </c>
      <c r="C20" s="7">
        <f t="shared" si="15"/>
        <v>0.01029847319</v>
      </c>
      <c r="D20" s="7">
        <f t="shared" si="16"/>
        <v>0.005612667888</v>
      </c>
      <c r="E20" s="7">
        <f t="shared" si="17"/>
        <v>0.002039269333</v>
      </c>
      <c r="F20" s="7">
        <f t="shared" si="18"/>
        <v>0.0005557008932</v>
      </c>
      <c r="G20" s="7">
        <f t="shared" si="19"/>
        <v>0.0001211427947</v>
      </c>
      <c r="H20" s="7">
        <f t="shared" si="20"/>
        <v>0.00002200760771</v>
      </c>
    </row>
    <row r="21">
      <c r="A21" s="2">
        <v>6.0</v>
      </c>
      <c r="B21" s="7">
        <f t="shared" si="14"/>
        <v>0.00290360781</v>
      </c>
      <c r="C21" s="7">
        <f t="shared" si="15"/>
        <v>0.003164932513</v>
      </c>
      <c r="D21" s="7">
        <f t="shared" si="16"/>
        <v>0.00172488822</v>
      </c>
      <c r="E21" s="7">
        <f t="shared" si="17"/>
        <v>0.0006267093865</v>
      </c>
      <c r="F21" s="7">
        <f t="shared" si="18"/>
        <v>0.0001707783078</v>
      </c>
      <c r="G21" s="7">
        <f t="shared" si="19"/>
        <v>0.0000372296711</v>
      </c>
      <c r="H21" s="7">
        <f t="shared" si="20"/>
        <v>0.00000676339025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0.0001762932369</v>
      </c>
      <c r="C25" s="10">
        <f>C15*B12</f>
        <v>0.00003039879848</v>
      </c>
      <c r="D25" s="10">
        <f>C16*B12</f>
        <v>0.00005605305402</v>
      </c>
      <c r="E25" s="10">
        <f>C17*B12</f>
        <v>0.00005167876729</v>
      </c>
      <c r="F25" s="10">
        <f>C18*B12</f>
        <v>0.00003176389506</v>
      </c>
      <c r="G25" s="10">
        <f>C19*B12</f>
        <v>0.00001464254687</v>
      </c>
      <c r="H25" s="10">
        <f>$C$10*B12</f>
        <v>0.0000004106408433</v>
      </c>
    </row>
    <row r="26">
      <c r="A26" s="2">
        <v>1.0</v>
      </c>
      <c r="B26" s="10">
        <f t="shared" ref="B26:B31" si="21">B15*$C$2</f>
        <v>0.01788266735</v>
      </c>
      <c r="C26" s="10">
        <f t="shared" ref="C26:C31" si="22">$C$5*B15</f>
        <v>0.01949210741</v>
      </c>
      <c r="D26" s="10">
        <f>$C$6*B15</f>
        <v>0.01062319854</v>
      </c>
      <c r="E26" s="10">
        <f>$C$7*B15</f>
        <v>0.003859762135</v>
      </c>
      <c r="F26" s="10">
        <f>$C$8*B15</f>
        <v>0.001051785182</v>
      </c>
      <c r="G26" s="10">
        <f>$C$9*B15</f>
        <v>0.0002292891697</v>
      </c>
      <c r="H26" s="10">
        <f>$C$10*B15</f>
        <v>0.00004165419915</v>
      </c>
    </row>
    <row r="27">
      <c r="A27" s="2">
        <v>2.0</v>
      </c>
      <c r="B27" s="10">
        <f t="shared" si="21"/>
        <v>0.0329742677</v>
      </c>
      <c r="C27" s="10">
        <f t="shared" si="22"/>
        <v>0.03594195179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0.03040101091</v>
      </c>
      <c r="C28" s="10">
        <f t="shared" si="22"/>
        <v>0.0331371019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0.01868571119</v>
      </c>
      <c r="C29" s="10">
        <f t="shared" si="22"/>
        <v>0.0203674252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0.008613754748</v>
      </c>
      <c r="C30" s="10">
        <f t="shared" si="22"/>
        <v>0.009388992675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0.003176620685</v>
      </c>
      <c r="C31" s="10">
        <f t="shared" si="22"/>
        <v>0.003462516546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werder</v>
      </c>
      <c r="J33" s="2" t="s">
        <v>17</v>
      </c>
      <c r="K33" s="7" t="str">
        <f>B13</f>
        <v>hambourg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0.00005927269398</v>
      </c>
      <c r="C36" s="10">
        <f t="shared" ref="C36:C41" si="24">$C$5*B25</f>
        <v>0.00006460723644</v>
      </c>
      <c r="D36" s="10">
        <f>$C$6*B25</f>
        <v>0.00003521094386</v>
      </c>
      <c r="E36" s="10">
        <f>$C$7*B25</f>
        <v>0.0000127933096</v>
      </c>
      <c r="F36" s="10">
        <f>$C$8*B25</f>
        <v>0.000003486176867</v>
      </c>
      <c r="G36" s="10">
        <f>$C$9*B25</f>
        <v>0.000000759986557</v>
      </c>
      <c r="H36" s="10">
        <f>$C$10*B25</f>
        <v>0.0000001380642245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0.006012447714</v>
      </c>
      <c r="C37" s="10">
        <f t="shared" si="24"/>
        <v>0.006553568008</v>
      </c>
      <c r="D37" s="7">
        <f t="shared" ref="D37:H37" si="25">D27*D17</f>
        <v>0.008952426423</v>
      </c>
      <c r="E37" s="7">
        <f t="shared" si="25"/>
        <v>0.00195162896</v>
      </c>
      <c r="F37" s="7">
        <f t="shared" si="25"/>
        <v>0.0003545459278</v>
      </c>
      <c r="G37" s="7">
        <f t="shared" si="25"/>
        <v>0.0000552078659</v>
      </c>
      <c r="H37" s="7">
        <f t="shared" si="25"/>
        <v>0.000007522071729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0.008952426423</v>
      </c>
      <c r="N37" s="7">
        <f>E27*D18</f>
        <v>0.003301517606</v>
      </c>
      <c r="O37" s="7">
        <f>F27*D19</f>
        <v>0.001014624228</v>
      </c>
      <c r="P37" s="7">
        <f>G27*D20</f>
        <v>0.0002672698994</v>
      </c>
      <c r="Q37" s="7">
        <f>H27*D21</f>
        <v>0.0000616031507</v>
      </c>
    </row>
    <row r="38">
      <c r="A38" s="2">
        <v>3.0</v>
      </c>
      <c r="B38" s="10">
        <f t="shared" si="23"/>
        <v>0.01108649267</v>
      </c>
      <c r="C38" s="10">
        <f t="shared" si="24"/>
        <v>0.01208427701</v>
      </c>
      <c r="D38" s="10"/>
      <c r="E38" s="7">
        <f t="shared" ref="E38:H38" si="28">E28*E18</f>
        <v>0.003598654191</v>
      </c>
      <c r="F38" s="7">
        <f t="shared" si="28"/>
        <v>0.0006537555113</v>
      </c>
      <c r="G38" s="7">
        <f t="shared" si="28"/>
        <v>0.0001017990725</v>
      </c>
      <c r="H38" s="7">
        <f t="shared" si="28"/>
        <v>0.00001387012362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0.003598654191</v>
      </c>
      <c r="O38" s="7">
        <f>F28*E19</f>
        <v>0.001105940409</v>
      </c>
      <c r="P38" s="7">
        <f>G28*E20</f>
        <v>0.0002913241904</v>
      </c>
      <c r="Q38" s="7">
        <f>H28*E21</f>
        <v>0.00006714743426</v>
      </c>
    </row>
    <row r="39">
      <c r="A39" s="2">
        <v>4.0</v>
      </c>
      <c r="B39" s="10">
        <f t="shared" si="23"/>
        <v>0.01022132129</v>
      </c>
      <c r="C39" s="10">
        <f t="shared" si="24"/>
        <v>0.01114124021</v>
      </c>
      <c r="D39" s="10"/>
      <c r="E39" s="10"/>
      <c r="F39" s="7">
        <f t="shared" ref="F39:H39" si="29">F29*F19</f>
        <v>0.0006027375229</v>
      </c>
      <c r="G39" s="7">
        <f t="shared" si="29"/>
        <v>0.00009385484285</v>
      </c>
      <c r="H39" s="7">
        <f t="shared" si="29"/>
        <v>0.00001278772234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0.0006027375229</v>
      </c>
      <c r="P39" s="7">
        <f>G29*F20</f>
        <v>0.0001587716838</v>
      </c>
      <c r="Q39" s="7">
        <f>H29*F21</f>
        <v>0.00003659535167</v>
      </c>
    </row>
    <row r="40">
      <c r="A40" s="2">
        <v>5.0</v>
      </c>
      <c r="B40" s="10">
        <f t="shared" si="23"/>
        <v>0.0062824443</v>
      </c>
      <c r="C40" s="10">
        <f t="shared" si="24"/>
        <v>0.006847864287</v>
      </c>
      <c r="D40" s="10"/>
      <c r="E40" s="10"/>
      <c r="F40" s="10"/>
      <c r="G40" s="7">
        <f t="shared" ref="G40:H40" si="30">G30*G20</f>
        <v>0.0000576870451</v>
      </c>
      <c r="H40" s="7">
        <f t="shared" si="30"/>
        <v>0.000007859859895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0.0000576870451</v>
      </c>
      <c r="Q40" s="7">
        <f>H30*G21</f>
        <v>0.00001329631111</v>
      </c>
    </row>
    <row r="41">
      <c r="A41" s="2">
        <v>6.0</v>
      </c>
      <c r="B41" s="10">
        <f t="shared" si="23"/>
        <v>0.002896086419</v>
      </c>
      <c r="C41" s="10">
        <f t="shared" si="24"/>
        <v>0.003156734197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32</v>
      </c>
      <c r="C1" s="1" t="s">
        <v>33</v>
      </c>
      <c r="D1" s="2" t="s">
        <v>2</v>
      </c>
      <c r="G1" s="2" t="str">
        <f t="shared" ref="G1:H1" si="1">B1</f>
        <v>leverkusen</v>
      </c>
      <c r="H1" s="2" t="str">
        <f t="shared" si="1"/>
        <v>augsbourg</v>
      </c>
      <c r="J1" s="3" t="str">
        <f>G1</f>
        <v>leverkusen</v>
      </c>
      <c r="K1" s="3" t="s">
        <v>3</v>
      </c>
      <c r="L1" s="3" t="s">
        <v>4</v>
      </c>
      <c r="M1" s="3" t="s">
        <v>5</v>
      </c>
      <c r="N1" s="3" t="str">
        <f>H1</f>
        <v>augsbourg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0.0771883049108998</v>
      </c>
      <c r="C2" s="1">
        <v>0.36935390589963174</v>
      </c>
      <c r="D2" s="2" t="s">
        <v>7</v>
      </c>
      <c r="E2" s="1">
        <v>2.5</v>
      </c>
      <c r="F2" s="2" t="s">
        <v>8</v>
      </c>
      <c r="G2" s="1">
        <v>1.428</v>
      </c>
      <c r="H2" s="1">
        <v>8.1</v>
      </c>
      <c r="J2" s="3"/>
      <c r="K2" s="4"/>
      <c r="L2" s="5">
        <v>4.0</v>
      </c>
      <c r="M2" s="6">
        <f t="shared" ref="M2:M11" si="3">IFERROR(-ln(1-(1/L2)),0)</f>
        <v>0.2876820725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2.561507324</v>
      </c>
      <c r="C3" s="7">
        <f t="shared" si="2"/>
        <v>0.996</v>
      </c>
      <c r="D3" s="2" t="s">
        <v>9</v>
      </c>
      <c r="E3" s="1">
        <v>1.45</v>
      </c>
      <c r="F3" s="2" t="s">
        <v>10</v>
      </c>
      <c r="G3" s="8">
        <f>1/(1/G2+SUM(D37:H40))</f>
        <v>1.397347699</v>
      </c>
      <c r="H3" s="8">
        <f>1/(1/H2+SUM(M37:Q40))</f>
        <v>6.873808247</v>
      </c>
      <c r="J3" s="3"/>
      <c r="K3" s="4"/>
      <c r="L3" s="5">
        <v>4.5</v>
      </c>
      <c r="M3" s="6">
        <f t="shared" si="3"/>
        <v>0.2513144283</v>
      </c>
      <c r="N3" s="3"/>
      <c r="O3" s="4"/>
      <c r="P3" s="5">
        <v>4.5</v>
      </c>
      <c r="Q3" s="6">
        <f t="shared" si="4"/>
        <v>0.2513144283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5.0</v>
      </c>
      <c r="Q4" s="6">
        <f t="shared" si="4"/>
        <v>0.2231435513</v>
      </c>
    </row>
    <row r="5">
      <c r="A5" s="2">
        <v>1.0</v>
      </c>
      <c r="B5" s="7">
        <f t="shared" ref="B5:C5" si="5">((B$3^$A5)/FACT($A5))*EXP(-B$3)</f>
        <v>0.1977184084</v>
      </c>
      <c r="C5" s="7">
        <f t="shared" si="5"/>
        <v>0.3678764903</v>
      </c>
      <c r="D5" s="2">
        <v>1.5</v>
      </c>
      <c r="E5" s="7">
        <f>1/(B2*(C2+C5)+B5*C2)</f>
        <v>7.696236857</v>
      </c>
      <c r="J5" s="3"/>
      <c r="K5" s="4"/>
      <c r="L5" s="5">
        <v>5.5</v>
      </c>
      <c r="M5" s="6">
        <f t="shared" si="3"/>
        <v>0.2006706955</v>
      </c>
      <c r="N5" s="3"/>
      <c r="O5" s="4"/>
      <c r="P5" s="5">
        <v>5.5</v>
      </c>
      <c r="Q5" s="6">
        <f t="shared" si="4"/>
        <v>0.2006706955</v>
      </c>
    </row>
    <row r="6">
      <c r="A6" s="2">
        <v>2.0</v>
      </c>
      <c r="B6" s="7">
        <f t="shared" ref="B6:C6" si="6">((B$3^$A6)/FACT($A6))*EXP(-B$3)</f>
        <v>0.2532285756</v>
      </c>
      <c r="C6" s="7">
        <f t="shared" si="6"/>
        <v>0.1832024922</v>
      </c>
      <c r="D6" s="2">
        <v>2.5</v>
      </c>
      <c r="E6" s="7">
        <f>1/(B2*(C2+C5+C6)+B5*(C2+C5)+B6*C2)</f>
        <v>3.222255334</v>
      </c>
      <c r="F6" s="2" t="s">
        <v>12</v>
      </c>
      <c r="J6" s="3"/>
      <c r="K6" s="4"/>
      <c r="L6" s="5">
        <v>8.0</v>
      </c>
      <c r="M6" s="6">
        <f t="shared" si="3"/>
        <v>0.1335313926</v>
      </c>
      <c r="N6" s="3"/>
      <c r="O6" s="4"/>
      <c r="P6" s="5">
        <v>6.0</v>
      </c>
      <c r="Q6" s="6">
        <f t="shared" si="4"/>
        <v>0.1823215568</v>
      </c>
    </row>
    <row r="7">
      <c r="A7" s="2">
        <v>3.0</v>
      </c>
      <c r="B7" s="7">
        <f t="shared" ref="B7:C7" si="7">((B$3^$A7)/FACT($A7))*EXP(-B$3)</f>
        <v>0.216215617</v>
      </c>
      <c r="C7" s="7">
        <f t="shared" si="7"/>
        <v>0.0608232274</v>
      </c>
      <c r="D7" s="2">
        <v>3.5</v>
      </c>
      <c r="E7" s="7">
        <f>1/(B2*(C2+C5+C6+C7)+B5*(C2+C5+C6)+B6*(C2+C5)+B7*C2)</f>
        <v>1.907392625</v>
      </c>
      <c r="F7" s="7" t="str">
        <f>B1</f>
        <v>leverkusen</v>
      </c>
      <c r="G7" s="2" t="s">
        <v>13</v>
      </c>
      <c r="H7" s="7" t="str">
        <f>C1</f>
        <v>augsbourg</v>
      </c>
      <c r="J7" s="3"/>
      <c r="K7" s="4"/>
      <c r="L7" s="5">
        <v>8.0</v>
      </c>
      <c r="M7" s="6">
        <f t="shared" si="3"/>
        <v>0.1335313926</v>
      </c>
      <c r="N7" s="3"/>
      <c r="O7" s="4"/>
      <c r="P7" s="5">
        <v>8.0</v>
      </c>
      <c r="Q7" s="6">
        <f t="shared" si="4"/>
        <v>0.1335313926</v>
      </c>
    </row>
    <row r="8">
      <c r="A8" s="2">
        <v>4.0</v>
      </c>
      <c r="B8" s="7">
        <f t="shared" ref="B8:C8" si="8">((B$3^$A8)/FACT($A8))*EXP(-B$3)</f>
        <v>0.1384594717</v>
      </c>
      <c r="C8" s="7">
        <f t="shared" si="8"/>
        <v>0.01514498362</v>
      </c>
      <c r="D8" s="2">
        <v>4.5</v>
      </c>
      <c r="E8" s="7">
        <f>1/(B2*(C2+C5+C6+C7+C8)+B5*(C2+C5+C6+C7)+B6*(C2+C5+C6)+B7*(C2+C5)+B8*C2)</f>
        <v>1.399493766</v>
      </c>
      <c r="F8" s="7">
        <f>B5*C2+B6*(C5+C2)+B7*(C6+C5+C2)+B8*(C7+C6+C5+C2)+B9*(C8+C7+C6+C5+C2)+B10*(C9+C8+C7+C6+C5+C2)+B11*(C10+C9+C8+C7+C6+C5+C2)+B12*(C11+C10+C9+C8+C7+C6+C5+C2)</f>
        <v>0.710163135</v>
      </c>
      <c r="G8" s="7">
        <f>B2*C2+B5*C5+B6*C6+B7*C7+B8*C8+B9*C9+B10*C10+B11*C11+B12*C12</f>
        <v>0.1631157433</v>
      </c>
      <c r="H8" s="7">
        <f>C5*B2+C6*(B5+B2)+C7*(B6+B5+B2)+C8*(B7+B6+B5+B2)+C9*(B8+B7+B6+B5+B2)+C10*(B9+B8+B7+B6+B5+B2)+C11*(B10+B9+B7+B8+B6+B5+B2)</f>
        <v>0.1253665219</v>
      </c>
      <c r="J8" s="3"/>
      <c r="K8" s="4"/>
      <c r="L8" s="5">
        <v>8.0</v>
      </c>
      <c r="M8" s="6">
        <f t="shared" si="3"/>
        <v>0.1335313926</v>
      </c>
      <c r="N8" s="3"/>
      <c r="O8" s="4"/>
      <c r="P8" s="5">
        <v>10.0</v>
      </c>
      <c r="Q8" s="6">
        <f t="shared" si="4"/>
        <v>0.1053605157</v>
      </c>
    </row>
    <row r="9">
      <c r="A9" s="2">
        <v>5.0</v>
      </c>
      <c r="B9" s="7">
        <f t="shared" ref="B9:C9" si="9">((B$3^$A9)/FACT($A9))*EXP(-B$3)</f>
        <v>0.07093299015</v>
      </c>
      <c r="C9" s="7">
        <f t="shared" si="9"/>
        <v>0.003016880737</v>
      </c>
      <c r="F9" s="9">
        <f t="shared" ref="F9:H9" si="10">1/F8</f>
        <v>1.408127162</v>
      </c>
      <c r="G9" s="9">
        <f t="shared" si="10"/>
        <v>6.130616088</v>
      </c>
      <c r="H9" s="9">
        <f t="shared" si="10"/>
        <v>7.97661118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0.0302825623</v>
      </c>
      <c r="C10" s="7">
        <f t="shared" si="11"/>
        <v>0.0005008022024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0.01108128645</v>
      </c>
      <c r="C11" s="7">
        <f t="shared" si="12"/>
        <v>0.00007125699909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0.003548099549</v>
      </c>
      <c r="C12" s="7">
        <f t="shared" si="13"/>
        <v>0.000008871496386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augsbourg</v>
      </c>
      <c r="J13" s="3"/>
      <c r="K13" s="3"/>
      <c r="L13" s="3" t="s">
        <v>14</v>
      </c>
      <c r="M13" s="6">
        <f>SUM(M2:M11)</f>
        <v>1.57038354</v>
      </c>
      <c r="N13" s="3"/>
      <c r="O13" s="3"/>
      <c r="P13" s="3" t="s">
        <v>14</v>
      </c>
      <c r="Q13" s="6">
        <f>SUM(Q2:Q11)</f>
        <v>1.671045535</v>
      </c>
    </row>
    <row r="14">
      <c r="A14" s="7" t="str">
        <f>B1</f>
        <v>leverkusen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1.363404925</v>
      </c>
      <c r="N14" s="3"/>
      <c r="O14" s="3"/>
      <c r="P14" s="3" t="s">
        <v>15</v>
      </c>
      <c r="Q14" s="6">
        <f>SUM(Q2:Q8)</f>
        <v>1.46406692</v>
      </c>
    </row>
    <row r="15">
      <c r="A15" s="2">
        <v>0.0</v>
      </c>
      <c r="B15" s="7">
        <f>B2*$C$2</f>
        <v>0.02850980191</v>
      </c>
      <c r="C15" s="7">
        <f>C5*B2</f>
        <v>0.0283957627</v>
      </c>
      <c r="D15" s="7">
        <f>C6*B2</f>
        <v>0.01414108983</v>
      </c>
      <c r="E15" s="7">
        <f>C7*B2</f>
        <v>0.004694841822</v>
      </c>
      <c r="F15" s="7">
        <f>C8*B2</f>
        <v>0.001169015614</v>
      </c>
      <c r="G15" s="7">
        <f>C9*B2</f>
        <v>0.0002328679102</v>
      </c>
      <c r="H15" s="7">
        <f>$C$10*B2</f>
        <v>0.0000386560731</v>
      </c>
    </row>
    <row r="16">
      <c r="A16" s="2">
        <v>1.0</v>
      </c>
      <c r="B16" s="7">
        <f t="shared" ref="B16:B21" si="14">B5*$C$2</f>
        <v>0.0730280664</v>
      </c>
      <c r="C16" s="7">
        <f t="shared" ref="C16:C21" si="15">$C$5*B5</f>
        <v>0.07273595414</v>
      </c>
      <c r="D16" s="7">
        <f t="shared" ref="D16:D21" si="16">$C$6*B5</f>
        <v>0.03622250516</v>
      </c>
      <c r="E16" s="7">
        <f t="shared" ref="E16:E21" si="17">$C$7*B5</f>
        <v>0.01202587171</v>
      </c>
      <c r="F16" s="7">
        <f t="shared" ref="F16:F21" si="18">$C$8*B5</f>
        <v>0.002994442057</v>
      </c>
      <c r="G16" s="7">
        <f t="shared" ref="G16:G21" si="19">$C$9*B5</f>
        <v>0.0005964928577</v>
      </c>
      <c r="H16" s="7">
        <f t="shared" ref="H16:H21" si="20">$C$10*B5</f>
        <v>0.00009901781437</v>
      </c>
    </row>
    <row r="17">
      <c r="A17" s="2">
        <v>2.0</v>
      </c>
      <c r="B17" s="7">
        <f t="shared" si="14"/>
        <v>0.09353096348</v>
      </c>
      <c r="C17" s="7">
        <f t="shared" si="15"/>
        <v>0.09315683963</v>
      </c>
      <c r="D17" s="7">
        <f t="shared" si="16"/>
        <v>0.04639210613</v>
      </c>
      <c r="E17" s="7">
        <f t="shared" si="17"/>
        <v>0.01540217924</v>
      </c>
      <c r="F17" s="7">
        <f t="shared" si="18"/>
        <v>0.00383514263</v>
      </c>
      <c r="G17" s="7">
        <f t="shared" si="19"/>
        <v>0.0007639604119</v>
      </c>
      <c r="H17" s="7">
        <f t="shared" si="20"/>
        <v>0.0001268174284</v>
      </c>
    </row>
    <row r="18">
      <c r="A18" s="2">
        <v>3.0</v>
      </c>
      <c r="B18" s="7">
        <f t="shared" si="14"/>
        <v>0.07986008266</v>
      </c>
      <c r="C18" s="7">
        <f t="shared" si="15"/>
        <v>0.07954064233</v>
      </c>
      <c r="D18" s="7">
        <f t="shared" si="16"/>
        <v>0.03961123988</v>
      </c>
      <c r="E18" s="7">
        <f t="shared" si="17"/>
        <v>0.01315093164</v>
      </c>
      <c r="F18" s="7">
        <f t="shared" si="18"/>
        <v>0.003274581979</v>
      </c>
      <c r="G18" s="7">
        <f t="shared" si="19"/>
        <v>0.0006522967301</v>
      </c>
      <c r="H18" s="7">
        <f t="shared" si="20"/>
        <v>0.0001082812572</v>
      </c>
    </row>
    <row r="19">
      <c r="A19" s="2">
        <v>4.0</v>
      </c>
      <c r="B19" s="7">
        <f t="shared" si="14"/>
        <v>0.05114054666</v>
      </c>
      <c r="C19" s="7">
        <f t="shared" si="15"/>
        <v>0.05093598448</v>
      </c>
      <c r="D19" s="7">
        <f t="shared" si="16"/>
        <v>0.02536612027</v>
      </c>
      <c r="E19" s="7">
        <f t="shared" si="17"/>
        <v>0.00842155193</v>
      </c>
      <c r="F19" s="7">
        <f t="shared" si="18"/>
        <v>0.00209696643</v>
      </c>
      <c r="G19" s="7">
        <f t="shared" si="19"/>
        <v>0.000417715713</v>
      </c>
      <c r="H19" s="7">
        <f t="shared" si="20"/>
        <v>0.00006934080835</v>
      </c>
    </row>
    <row r="20">
      <c r="A20" s="2">
        <v>5.0</v>
      </c>
      <c r="B20" s="7">
        <f t="shared" si="14"/>
        <v>0.02619937697</v>
      </c>
      <c r="C20" s="7">
        <f t="shared" si="15"/>
        <v>0.02609457946</v>
      </c>
      <c r="D20" s="7">
        <f t="shared" si="16"/>
        <v>0.01299510057</v>
      </c>
      <c r="E20" s="7">
        <f t="shared" si="17"/>
        <v>0.00431437339</v>
      </c>
      <c r="F20" s="7">
        <f t="shared" si="18"/>
        <v>0.001074278974</v>
      </c>
      <c r="G20" s="7">
        <f t="shared" si="19"/>
        <v>0.0002139963716</v>
      </c>
      <c r="H20" s="7">
        <f t="shared" si="20"/>
        <v>0.00003552339769</v>
      </c>
    </row>
    <row r="21">
      <c r="A21" s="2">
        <v>6.0</v>
      </c>
      <c r="B21" s="7">
        <f t="shared" si="14"/>
        <v>0.01118498267</v>
      </c>
      <c r="C21" s="7">
        <f t="shared" si="15"/>
        <v>0.01114024274</v>
      </c>
      <c r="D21" s="7">
        <f t="shared" si="16"/>
        <v>0.005547840882</v>
      </c>
      <c r="E21" s="7">
        <f t="shared" si="17"/>
        <v>0.001841883173</v>
      </c>
      <c r="F21" s="7">
        <f t="shared" si="18"/>
        <v>0.0004586289101</v>
      </c>
      <c r="G21" s="7">
        <f t="shared" si="19"/>
        <v>0.00009135887888</v>
      </c>
      <c r="H21" s="7">
        <f t="shared" si="20"/>
        <v>0.00001516557389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0.001310504427</v>
      </c>
      <c r="C25" s="10">
        <f>C15*B12</f>
        <v>0.0001007509928</v>
      </c>
      <c r="D25" s="10">
        <f>C16*B12</f>
        <v>0.0002580744061</v>
      </c>
      <c r="E25" s="10">
        <f>C17*B12</f>
        <v>0.0003305297407</v>
      </c>
      <c r="F25" s="10">
        <f>C18*B12</f>
        <v>0.0002822181172</v>
      </c>
      <c r="G25" s="10">
        <f>C19*B12</f>
        <v>0.0001807259436</v>
      </c>
      <c r="H25" s="10">
        <f>$C$10*B12</f>
        <v>0.000001776896069</v>
      </c>
    </row>
    <row r="26">
      <c r="A26" s="2">
        <v>1.0</v>
      </c>
      <c r="B26" s="10">
        <f t="shared" ref="B26:B31" si="21">B15*$C$2</f>
        <v>0.01053020669</v>
      </c>
      <c r="C26" s="10">
        <f t="shared" ref="C26:C31" si="22">$C$5*B15</f>
        <v>0.01048808586</v>
      </c>
      <c r="D26" s="10">
        <f>$C$6*B15</f>
        <v>0.005223066761</v>
      </c>
      <c r="E26" s="10">
        <f>$C$7*B15</f>
        <v>0.001734058165</v>
      </c>
      <c r="F26" s="10">
        <f>$C$8*B15</f>
        <v>0.000431780483</v>
      </c>
      <c r="G26" s="10">
        <f>$C$9*B15</f>
        <v>0.00008601067221</v>
      </c>
      <c r="H26" s="10">
        <f>$C$10*B15</f>
        <v>0.00001427777159</v>
      </c>
    </row>
    <row r="27">
      <c r="A27" s="2">
        <v>2.0</v>
      </c>
      <c r="B27" s="10">
        <f t="shared" si="21"/>
        <v>0.02697320157</v>
      </c>
      <c r="C27" s="10">
        <f t="shared" si="22"/>
        <v>0.02686530876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0.03454602668</v>
      </c>
      <c r="C28" s="10">
        <f t="shared" si="22"/>
        <v>0.03440784258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0.02949663346</v>
      </c>
      <c r="C29" s="10">
        <f t="shared" si="22"/>
        <v>0.02937864692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0.01888896066</v>
      </c>
      <c r="C30" s="10">
        <f t="shared" si="22"/>
        <v>0.01881340482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0.009676842216</v>
      </c>
      <c r="C31" s="10">
        <f t="shared" si="22"/>
        <v>0.009638134847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leverkusen</v>
      </c>
      <c r="J33" s="2" t="s">
        <v>17</v>
      </c>
      <c r="K33" s="7" t="str">
        <f>B13</f>
        <v>augsbourg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0.0004840399288</v>
      </c>
      <c r="C36" s="10">
        <f t="shared" ref="C36:C41" si="24">$C$5*B25</f>
        <v>0.0004821037691</v>
      </c>
      <c r="D36" s="10">
        <f>$C$6*B25</f>
        <v>0.000240087677</v>
      </c>
      <c r="E36" s="10">
        <f>$C$7*B25</f>
        <v>0.00007970910877</v>
      </c>
      <c r="F36" s="10">
        <f>$C$8*B25</f>
        <v>0.00001984756808</v>
      </c>
      <c r="G36" s="10">
        <f>$C$9*B25</f>
        <v>0.000003953635562</v>
      </c>
      <c r="H36" s="10">
        <f>$C$10*B25</f>
        <v>0.0000006563035034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0.003889372971</v>
      </c>
      <c r="C37" s="10">
        <f t="shared" si="24"/>
        <v>0.00387381548</v>
      </c>
      <c r="D37" s="7">
        <f t="shared" ref="D37:H37" si="25">D27*D17</f>
        <v>0.007732017689</v>
      </c>
      <c r="E37" s="7">
        <f t="shared" si="25"/>
        <v>0.001540217924</v>
      </c>
      <c r="F37" s="7">
        <f t="shared" si="25"/>
        <v>0.0002556761753</v>
      </c>
      <c r="G37" s="7">
        <f t="shared" si="25"/>
        <v>0.00003637906723</v>
      </c>
      <c r="H37" s="7">
        <f t="shared" si="25"/>
        <v>0.00000452919387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0.007732017689</v>
      </c>
      <c r="N37" s="7">
        <f>E27*D18</f>
        <v>0.003961123988</v>
      </c>
      <c r="O37" s="7">
        <f>F27*D19</f>
        <v>0.001691074685</v>
      </c>
      <c r="P37" s="7">
        <f>G27*D20</f>
        <v>0.0006188143129</v>
      </c>
      <c r="Q37" s="7">
        <f>H27*D21</f>
        <v>0.0001981371744</v>
      </c>
    </row>
    <row r="38">
      <c r="A38" s="2">
        <v>3.0</v>
      </c>
      <c r="B38" s="10">
        <f t="shared" si="23"/>
        <v>0.009962657353</v>
      </c>
      <c r="C38" s="10">
        <f t="shared" si="24"/>
        <v>0.009922806723</v>
      </c>
      <c r="D38" s="10"/>
      <c r="E38" s="7">
        <f t="shared" ref="E38:H38" si="28">E28*E18</f>
        <v>0.003945279492</v>
      </c>
      <c r="F38" s="7">
        <f t="shared" si="28"/>
        <v>0.0006549163957</v>
      </c>
      <c r="G38" s="7">
        <f t="shared" si="28"/>
        <v>0.00009318524716</v>
      </c>
      <c r="H38" s="7">
        <f t="shared" si="28"/>
        <v>0.00001160156327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0.003945279492</v>
      </c>
      <c r="O38" s="7">
        <f>F28*E19</f>
        <v>0.001684310386</v>
      </c>
      <c r="P38" s="7">
        <f>G28*E20</f>
        <v>0.0006163390557</v>
      </c>
      <c r="Q38" s="7">
        <f>H28*E21</f>
        <v>0.0001973446257</v>
      </c>
    </row>
    <row r="39">
      <c r="A39" s="2">
        <v>4.0</v>
      </c>
      <c r="B39" s="10">
        <f t="shared" si="23"/>
        <v>0.01275970989</v>
      </c>
      <c r="C39" s="10">
        <f t="shared" si="24"/>
        <v>0.01270867105</v>
      </c>
      <c r="D39" s="10"/>
      <c r="E39" s="10"/>
      <c r="F39" s="7">
        <f t="shared" ref="F39:H39" si="29">F29*F19</f>
        <v>0.0008387865722</v>
      </c>
      <c r="G39" s="7">
        <f t="shared" si="29"/>
        <v>0.0001193473466</v>
      </c>
      <c r="H39" s="7">
        <f t="shared" si="29"/>
        <v>0.00001485874465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0.0008387865722</v>
      </c>
      <c r="P39" s="7">
        <f>G29*F20</f>
        <v>0.0003069368497</v>
      </c>
      <c r="Q39" s="7">
        <f>H29*F21</f>
        <v>0.00009827762358</v>
      </c>
    </row>
    <row r="40">
      <c r="A40" s="2">
        <v>5.0</v>
      </c>
      <c r="B40" s="10">
        <f t="shared" si="23"/>
        <v>0.01089469678</v>
      </c>
      <c r="C40" s="10">
        <f t="shared" si="24"/>
        <v>0.01085111799</v>
      </c>
      <c r="D40" s="10"/>
      <c r="E40" s="10"/>
      <c r="F40" s="10"/>
      <c r="G40" s="7">
        <f t="shared" ref="G40:H40" si="30">G30*G20</f>
        <v>0.0001019030341</v>
      </c>
      <c r="H40" s="7">
        <f t="shared" si="30"/>
        <v>0.00001268692775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0.0001019030341</v>
      </c>
      <c r="Q40" s="7">
        <f>H30*G21</f>
        <v>0.00003262817103</v>
      </c>
    </row>
    <row r="41">
      <c r="A41" s="2">
        <v>6.0</v>
      </c>
      <c r="B41" s="10">
        <f t="shared" si="23"/>
        <v>0.006976711398</v>
      </c>
      <c r="C41" s="10">
        <f t="shared" si="24"/>
        <v>0.006948804553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34</v>
      </c>
      <c r="C1" s="1" t="s">
        <v>35</v>
      </c>
      <c r="D1" s="2" t="s">
        <v>2</v>
      </c>
      <c r="G1" s="2" t="str">
        <f t="shared" ref="G1:H1" si="1">B1</f>
        <v>fribourg</v>
      </c>
      <c r="H1" s="2" t="str">
        <f t="shared" si="1"/>
        <v>heidenheim</v>
      </c>
      <c r="J1" s="3" t="str">
        <f>G1</f>
        <v>fribourg</v>
      </c>
      <c r="K1" s="3" t="s">
        <v>3</v>
      </c>
      <c r="L1" s="3" t="s">
        <v>4</v>
      </c>
      <c r="M1" s="3" t="s">
        <v>5</v>
      </c>
      <c r="N1" s="3" t="str">
        <f>H1</f>
        <v>heidenheim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0.12526482342612136</v>
      </c>
      <c r="C2" s="1">
        <v>0.3478444089170872</v>
      </c>
      <c r="D2" s="2" t="s">
        <v>7</v>
      </c>
      <c r="E2" s="1">
        <v>2.5</v>
      </c>
      <c r="F2" s="2" t="s">
        <v>8</v>
      </c>
      <c r="G2" s="1">
        <v>1.697</v>
      </c>
      <c r="H2" s="1">
        <v>5.58</v>
      </c>
      <c r="J2" s="3"/>
      <c r="K2" s="4"/>
      <c r="L2" s="5">
        <v>1.85</v>
      </c>
      <c r="M2" s="6">
        <f t="shared" ref="M2:M11" si="3">IFERROR(-ln(1-(1/L2)),0)</f>
        <v>0.7777045686</v>
      </c>
      <c r="N2" s="3"/>
      <c r="O2" s="4"/>
      <c r="P2" s="5">
        <v>3.5</v>
      </c>
      <c r="Q2" s="6">
        <f t="shared" ref="Q2:Q11" si="4">IFERROR(-ln(1-(1/P2)),0)</f>
        <v>0.3364722366</v>
      </c>
    </row>
    <row r="3">
      <c r="A3" s="2" t="s">
        <v>5</v>
      </c>
      <c r="B3" s="7">
        <f t="shared" ref="B3:C3" si="2">-ln(B2)</f>
        <v>2.077325195</v>
      </c>
      <c r="C3" s="7">
        <f t="shared" si="2"/>
        <v>1.056</v>
      </c>
      <c r="D3" s="2" t="s">
        <v>9</v>
      </c>
      <c r="E3" s="1">
        <v>1.65</v>
      </c>
      <c r="F3" s="2" t="s">
        <v>10</v>
      </c>
      <c r="G3" s="8">
        <f>1/(1/G2+SUM(D37:H40))</f>
        <v>1.650810344</v>
      </c>
      <c r="H3" s="8">
        <f>1/(1/H2+SUM(M37:Q40))</f>
        <v>4.999620933</v>
      </c>
      <c r="J3" s="3"/>
      <c r="K3" s="4"/>
      <c r="L3" s="5">
        <v>1.9</v>
      </c>
      <c r="M3" s="6">
        <f t="shared" si="3"/>
        <v>0.7472144018</v>
      </c>
      <c r="N3" s="3"/>
      <c r="O3" s="4"/>
      <c r="P3" s="5">
        <v>8.0</v>
      </c>
      <c r="Q3" s="6">
        <f t="shared" si="4"/>
        <v>0.1335313926</v>
      </c>
    </row>
    <row r="4">
      <c r="A4" s="2" t="s">
        <v>11</v>
      </c>
      <c r="J4" s="3"/>
      <c r="K4" s="4"/>
      <c r="L4" s="5">
        <v>2.25</v>
      </c>
      <c r="M4" s="6">
        <f t="shared" si="3"/>
        <v>0.5877866649</v>
      </c>
      <c r="N4" s="3"/>
      <c r="O4" s="4"/>
      <c r="P4" s="5">
        <v>7.0</v>
      </c>
      <c r="Q4" s="6">
        <f t="shared" si="4"/>
        <v>0.1541506798</v>
      </c>
    </row>
    <row r="5">
      <c r="A5" s="2">
        <v>1.0</v>
      </c>
      <c r="B5" s="7">
        <f t="shared" ref="B5:C5" si="5">((B$3^$A5)/FACT($A5))*EXP(-B$3)</f>
        <v>0.2602157738</v>
      </c>
      <c r="C5" s="7">
        <f t="shared" si="5"/>
        <v>0.3673236958</v>
      </c>
      <c r="D5" s="2">
        <v>1.5</v>
      </c>
      <c r="E5" s="7">
        <f>1/(B2*(C2+C5)+B5*C2)</f>
        <v>5.552470591</v>
      </c>
      <c r="J5" s="3"/>
      <c r="K5" s="4"/>
      <c r="L5" s="5">
        <v>4.0</v>
      </c>
      <c r="M5" s="6">
        <f t="shared" si="3"/>
        <v>0.2876820725</v>
      </c>
      <c r="N5" s="3"/>
      <c r="O5" s="4"/>
      <c r="P5" s="5">
        <v>6.0</v>
      </c>
      <c r="Q5" s="6">
        <f t="shared" si="4"/>
        <v>0.1823215568</v>
      </c>
    </row>
    <row r="6">
      <c r="A6" s="2">
        <v>2.0</v>
      </c>
      <c r="B6" s="7">
        <f t="shared" ref="B6:C6" si="6">((B$3^$A6)/FACT($A6))*EXP(-B$3)</f>
        <v>0.2702763916</v>
      </c>
      <c r="C6" s="7">
        <f t="shared" si="6"/>
        <v>0.1939469114</v>
      </c>
      <c r="D6" s="2">
        <v>2.5</v>
      </c>
      <c r="E6" s="7">
        <f>1/(B2*(C2+C5+C6)+B5*(C2+C5)+B6*C2)</f>
        <v>2.538120763</v>
      </c>
      <c r="F6" s="2" t="s">
        <v>12</v>
      </c>
      <c r="J6" s="3"/>
      <c r="K6" s="4"/>
      <c r="L6" s="5">
        <v>5.0</v>
      </c>
      <c r="M6" s="6">
        <f t="shared" si="3"/>
        <v>0.2231435513</v>
      </c>
      <c r="N6" s="3"/>
      <c r="O6" s="4"/>
      <c r="P6" s="5">
        <v>15.0</v>
      </c>
      <c r="Q6" s="6">
        <f t="shared" si="4"/>
        <v>0.06899287149</v>
      </c>
    </row>
    <row r="7">
      <c r="A7" s="2">
        <v>3.0</v>
      </c>
      <c r="B7" s="7">
        <f t="shared" ref="B7:C7" si="7">((B$3^$A7)/FACT($A7))*EXP(-B$3)</f>
        <v>0.1871506526</v>
      </c>
      <c r="C7" s="7">
        <f t="shared" si="7"/>
        <v>0.06826931281</v>
      </c>
      <c r="D7" s="2">
        <v>3.5</v>
      </c>
      <c r="E7" s="7">
        <f>1/(B2*(C2+C5+C6+C7)+B5*(C2+C5+C6)+B6*(C2+C5)+B7*C2)</f>
        <v>1.61972093</v>
      </c>
      <c r="F7" s="7" t="str">
        <f>B1</f>
        <v>fribourg</v>
      </c>
      <c r="G7" s="2" t="s">
        <v>13</v>
      </c>
      <c r="H7" s="7" t="str">
        <f>C1</f>
        <v>heidenheim</v>
      </c>
      <c r="J7" s="3"/>
      <c r="K7" s="4"/>
      <c r="L7" s="5">
        <v>6.0</v>
      </c>
      <c r="M7" s="6">
        <f t="shared" si="3"/>
        <v>0.1823215568</v>
      </c>
      <c r="N7" s="3"/>
      <c r="O7" s="4"/>
      <c r="P7" s="5">
        <v>15.0</v>
      </c>
      <c r="Q7" s="6">
        <f t="shared" si="4"/>
        <v>0.06899287149</v>
      </c>
    </row>
    <row r="8">
      <c r="A8" s="2">
        <v>4.0</v>
      </c>
      <c r="B8" s="7">
        <f t="shared" ref="B8:C8" si="8">((B$3^$A8)/FACT($A8))*EXP(-B$3)</f>
        <v>0.0971931915</v>
      </c>
      <c r="C8" s="7">
        <f t="shared" si="8"/>
        <v>0.01802309858</v>
      </c>
      <c r="D8" s="2">
        <v>4.5</v>
      </c>
      <c r="E8" s="7">
        <f>1/(B2*(C2+C5+C6+C7+C8)+B5*(C2+C5+C6+C7)+B6*(C2+C5+C6)+B7*(C2+C5)+B8*C2)</f>
        <v>1.262012837</v>
      </c>
      <c r="F8" s="7">
        <f>B5*C2+B6*(C5+C2)+B7*(C6+C5+C2)+B8*(C7+C6+C5+C2)+B9*(C8+C7+C6+C5+C2)+B10*(C9+C8+C7+C6+C5+C2)+B11*(C10+C9+C8+C7+C6+C5+C2)+B12*(C11+C10+C9+C8+C7+C6+C5+C2)</f>
        <v>0.6083343817</v>
      </c>
      <c r="G8" s="7">
        <f>B2*C2+B5*C5+B6*C6+B7*C7+B8*C8+B9*C9+B10*C10+B11*C11+B12*C12</f>
        <v>0.2062672353</v>
      </c>
      <c r="H8" s="7">
        <f>C5*B2+C6*(B5+B2)+C7*(B6+B5+B2)+C8*(B7+B6+B5+B2)+C9*(B8+B7+B6+B5+B2)+C10*(B9+B8+B7+B6+B5+B2)+C11*(B10+B9+B7+B8+B6+B5+B2)</f>
        <v>0.1850712385</v>
      </c>
      <c r="J8" s="3"/>
      <c r="K8" s="4"/>
      <c r="L8" s="5">
        <v>8.0</v>
      </c>
      <c r="M8" s="6">
        <f t="shared" si="3"/>
        <v>0.1335313926</v>
      </c>
      <c r="N8" s="3"/>
      <c r="O8" s="4"/>
      <c r="P8" s="5">
        <v>8.0</v>
      </c>
      <c r="Q8" s="6">
        <f t="shared" si="4"/>
        <v>0.1335313926</v>
      </c>
    </row>
    <row r="9">
      <c r="A9" s="2">
        <v>5.0</v>
      </c>
      <c r="B9" s="7">
        <f t="shared" ref="B9:C9" si="9">((B$3^$A9)/FACT($A9))*EXP(-B$3)</f>
        <v>0.0403803731</v>
      </c>
      <c r="C9" s="7">
        <f t="shared" si="9"/>
        <v>0.00380647842</v>
      </c>
      <c r="F9" s="9">
        <f t="shared" ref="F9:H9" si="10">1/F8</f>
        <v>1.643832783</v>
      </c>
      <c r="G9" s="9">
        <f t="shared" si="10"/>
        <v>4.848079718</v>
      </c>
      <c r="H9" s="9">
        <f t="shared" si="10"/>
        <v>5.403324731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10.0</v>
      </c>
      <c r="Q9" s="6">
        <f t="shared" si="4"/>
        <v>0.1053605157</v>
      </c>
    </row>
    <row r="10">
      <c r="A10" s="2">
        <v>6.0</v>
      </c>
      <c r="B10" s="7">
        <f t="shared" ref="B10:C10" si="11">((B$3^$A10)/FACT($A10))*EXP(-B$3)</f>
        <v>0.01398052774</v>
      </c>
      <c r="C10" s="7">
        <f t="shared" si="11"/>
        <v>0.000669940202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0.004148871789</v>
      </c>
      <c r="C11" s="7">
        <f t="shared" si="12"/>
        <v>0.0001010652648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20.0</v>
      </c>
      <c r="Q11" s="6">
        <f t="shared" si="4"/>
        <v>0.05129329439</v>
      </c>
    </row>
    <row r="12">
      <c r="A12" s="2">
        <v>8.0</v>
      </c>
      <c r="B12" s="7">
        <f t="shared" ref="B12:C12" si="13">((B$3^$A12)/FACT($A12))*EXP(-B$3)</f>
        <v>0.001077319487</v>
      </c>
      <c r="C12" s="7">
        <f t="shared" si="13"/>
        <v>0.00001334061495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heidenheim</v>
      </c>
      <c r="J13" s="3"/>
      <c r="K13" s="3"/>
      <c r="L13" s="3" t="s">
        <v>14</v>
      </c>
      <c r="M13" s="6">
        <f>SUM(M2:M11)</f>
        <v>3.146362823</v>
      </c>
      <c r="N13" s="3"/>
      <c r="O13" s="3"/>
      <c r="P13" s="3" t="s">
        <v>14</v>
      </c>
      <c r="Q13" s="6">
        <f>SUM(Q2:Q11)</f>
        <v>1.303639683</v>
      </c>
    </row>
    <row r="14">
      <c r="A14" s="7" t="str">
        <f>B1</f>
        <v>fribourg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2.939384209</v>
      </c>
      <c r="N14" s="3"/>
      <c r="O14" s="3"/>
      <c r="P14" s="3" t="s">
        <v>15</v>
      </c>
      <c r="Q14" s="6">
        <f>SUM(Q2:Q8)</f>
        <v>1.077993001</v>
      </c>
    </row>
    <row r="15">
      <c r="A15" s="2">
        <v>0.0</v>
      </c>
      <c r="B15" s="7">
        <f>B2*$C$2</f>
        <v>0.04357266846</v>
      </c>
      <c r="C15" s="7">
        <f>C5*B2</f>
        <v>0.0460127379</v>
      </c>
      <c r="D15" s="7">
        <f>C6*B2</f>
        <v>0.02429472561</v>
      </c>
      <c r="E15" s="7">
        <f>C7*B2</f>
        <v>0.008551743415</v>
      </c>
      <c r="F15" s="7">
        <f>C8*B2</f>
        <v>0.002257660261</v>
      </c>
      <c r="G15" s="7">
        <f>C9*B2</f>
        <v>0.0004768178472</v>
      </c>
      <c r="H15" s="7">
        <f>$C$10*B2</f>
        <v>0.00008391994111</v>
      </c>
    </row>
    <row r="16">
      <c r="A16" s="2">
        <v>1.0</v>
      </c>
      <c r="B16" s="7">
        <f t="shared" ref="B16:B21" si="14">B5*$C$2</f>
        <v>0.09051460202</v>
      </c>
      <c r="C16" s="7">
        <f t="shared" ref="C16:C21" si="15">$C$5*B5</f>
        <v>0.09558341974</v>
      </c>
      <c r="D16" s="7">
        <f t="shared" ref="D16:D21" si="16">$C$6*B5</f>
        <v>0.05046804562</v>
      </c>
      <c r="E16" s="7">
        <f t="shared" ref="E16:E21" si="17">$C$7*B5</f>
        <v>0.01776475206</v>
      </c>
      <c r="F16" s="7">
        <f t="shared" ref="F16:F21" si="18">$C$8*B5</f>
        <v>0.004689894544</v>
      </c>
      <c r="G16" s="7">
        <f t="shared" ref="G16:G21" si="19">$C$9*B5</f>
        <v>0.0009905057276</v>
      </c>
      <c r="H16" s="7">
        <f t="shared" ref="H16:H21" si="20">$C$10*B5</f>
        <v>0.0001743290081</v>
      </c>
    </row>
    <row r="17">
      <c r="A17" s="2">
        <v>2.0</v>
      </c>
      <c r="B17" s="7">
        <f t="shared" si="14"/>
        <v>0.09401413166</v>
      </c>
      <c r="C17" s="7">
        <f t="shared" si="15"/>
        <v>0.09927892304</v>
      </c>
      <c r="D17" s="7">
        <f t="shared" si="16"/>
        <v>0.05241927136</v>
      </c>
      <c r="E17" s="7">
        <f t="shared" si="17"/>
        <v>0.01845158352</v>
      </c>
      <c r="F17" s="7">
        <f t="shared" si="18"/>
        <v>0.004871218049</v>
      </c>
      <c r="G17" s="7">
        <f t="shared" si="19"/>
        <v>0.001028801252</v>
      </c>
      <c r="H17" s="7">
        <f t="shared" si="20"/>
        <v>0.0001810690204</v>
      </c>
    </row>
    <row r="18">
      <c r="A18" s="2">
        <v>3.0</v>
      </c>
      <c r="B18" s="7">
        <f t="shared" si="14"/>
        <v>0.06509930814</v>
      </c>
      <c r="C18" s="7">
        <f t="shared" si="15"/>
        <v>0.0687448694</v>
      </c>
      <c r="D18" s="7">
        <f t="shared" si="16"/>
        <v>0.03629729104</v>
      </c>
      <c r="E18" s="7">
        <f t="shared" si="17"/>
        <v>0.01277664645</v>
      </c>
      <c r="F18" s="7">
        <f t="shared" si="18"/>
        <v>0.003373034662</v>
      </c>
      <c r="G18" s="7">
        <f t="shared" si="19"/>
        <v>0.0007123849206</v>
      </c>
      <c r="H18" s="7">
        <f t="shared" si="20"/>
        <v>0.000125379746</v>
      </c>
    </row>
    <row r="19">
      <c r="A19" s="2">
        <v>4.0</v>
      </c>
      <c r="B19" s="7">
        <f t="shared" si="14"/>
        <v>0.03380810825</v>
      </c>
      <c r="C19" s="7">
        <f t="shared" si="15"/>
        <v>0.03570136231</v>
      </c>
      <c r="D19" s="7">
        <f t="shared" si="16"/>
        <v>0.0188503193</v>
      </c>
      <c r="E19" s="7">
        <f t="shared" si="17"/>
        <v>0.006635312394</v>
      </c>
      <c r="F19" s="7">
        <f t="shared" si="18"/>
        <v>0.001751722472</v>
      </c>
      <c r="G19" s="7">
        <f t="shared" si="19"/>
        <v>0.0003699637861</v>
      </c>
      <c r="H19" s="7">
        <f t="shared" si="20"/>
        <v>0.00006511362635</v>
      </c>
    </row>
    <row r="20">
      <c r="A20" s="2">
        <v>5.0</v>
      </c>
      <c r="B20" s="7">
        <f t="shared" si="14"/>
        <v>0.01404608701</v>
      </c>
      <c r="C20" s="7">
        <f t="shared" si="15"/>
        <v>0.01483266789</v>
      </c>
      <c r="D20" s="7">
        <f t="shared" si="16"/>
        <v>0.007831648645</v>
      </c>
      <c r="E20" s="7">
        <f t="shared" si="17"/>
        <v>0.002756740323</v>
      </c>
      <c r="F20" s="7">
        <f t="shared" si="18"/>
        <v>0.0007277794452</v>
      </c>
      <c r="G20" s="7">
        <f t="shared" si="19"/>
        <v>0.0001537070188</v>
      </c>
      <c r="H20" s="7">
        <f t="shared" si="20"/>
        <v>0.00002705243531</v>
      </c>
    </row>
    <row r="21">
      <c r="A21" s="2">
        <v>6.0</v>
      </c>
      <c r="B21" s="7">
        <f t="shared" si="14"/>
        <v>0.004863048408</v>
      </c>
      <c r="C21" s="7">
        <f t="shared" si="15"/>
        <v>0.005135379119</v>
      </c>
      <c r="D21" s="7">
        <f t="shared" si="16"/>
        <v>0.002711480175</v>
      </c>
      <c r="E21" s="7">
        <f t="shared" si="17"/>
        <v>0.0009544410216</v>
      </c>
      <c r="F21" s="7">
        <f t="shared" si="18"/>
        <v>0.0002519724297</v>
      </c>
      <c r="G21" s="7">
        <f t="shared" si="19"/>
        <v>0.00005321657715</v>
      </c>
      <c r="H21" s="7">
        <f t="shared" si="20"/>
        <v>0.000009366117579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0.0003747395603</v>
      </c>
      <c r="C25" s="10">
        <f>C15*B12</f>
        <v>0.0000495704192</v>
      </c>
      <c r="D25" s="10">
        <f>C16*B12</f>
        <v>0.0001029738807</v>
      </c>
      <c r="E25" s="10">
        <f>C17*B12</f>
        <v>0.0001069551185</v>
      </c>
      <c r="F25" s="10">
        <f>C18*B12</f>
        <v>0.00007406018746</v>
      </c>
      <c r="G25" s="10">
        <f>C19*B12</f>
        <v>0.00003846177334</v>
      </c>
      <c r="H25" s="10">
        <f>$C$10*B12</f>
        <v>0.000000721739635</v>
      </c>
    </row>
    <row r="26">
      <c r="A26" s="2">
        <v>1.0</v>
      </c>
      <c r="B26" s="10">
        <f t="shared" ref="B26:B31" si="21">B15*$C$2</f>
        <v>0.01515650911</v>
      </c>
      <c r="C26" s="10">
        <f t="shared" ref="C26:C31" si="22">$C$5*B15</f>
        <v>0.01600527362</v>
      </c>
      <c r="D26" s="10">
        <f>$C$6*B15</f>
        <v>0.008450784469</v>
      </c>
      <c r="E26" s="10">
        <f>$C$7*B15</f>
        <v>0.002974676133</v>
      </c>
      <c r="F26" s="10">
        <f>$C$8*B15</f>
        <v>0.0007853144992</v>
      </c>
      <c r="G26" s="10">
        <f>$C$9*B15</f>
        <v>0.0001658584222</v>
      </c>
      <c r="H26" s="10">
        <f>$C$10*B15</f>
        <v>0.00002919108231</v>
      </c>
    </row>
    <row r="27">
      <c r="A27" s="2">
        <v>2.0</v>
      </c>
      <c r="B27" s="10">
        <f t="shared" si="21"/>
        <v>0.03148499824</v>
      </c>
      <c r="C27" s="10">
        <f t="shared" si="22"/>
        <v>0.03324815814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0.03270229006</v>
      </c>
      <c r="C28" s="10">
        <f t="shared" si="22"/>
        <v>0.0345336183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0.02264443036</v>
      </c>
      <c r="C29" s="10">
        <f t="shared" si="22"/>
        <v>0.02391251846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0.01175996143</v>
      </c>
      <c r="C30" s="10">
        <f t="shared" si="22"/>
        <v>0.01241851927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0.004885852835</v>
      </c>
      <c r="C31" s="10">
        <f t="shared" si="22"/>
        <v>0.005159460594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fribourg</v>
      </c>
      <c r="J33" s="2" t="s">
        <v>17</v>
      </c>
      <c r="K33" s="7" t="str">
        <f>B13</f>
        <v>heidenheim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0.0001303510608</v>
      </c>
      <c r="C36" s="10">
        <f t="shared" ref="C36:C41" si="24">$C$5*B25</f>
        <v>0.0001376507203</v>
      </c>
      <c r="D36" s="10">
        <f>$C$6*B25</f>
        <v>0.00007267958029</v>
      </c>
      <c r="E36" s="10">
        <f>$C$7*B25</f>
        <v>0.00002558321226</v>
      </c>
      <c r="F36" s="10">
        <f>$C$8*B25</f>
        <v>0.000006753968038</v>
      </c>
      <c r="G36" s="10">
        <f>$C$9*B25</f>
        <v>0.00000142643805</v>
      </c>
      <c r="H36" s="10">
        <f>$C$10*B25</f>
        <v>0.0000002510530967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0.005272106951</v>
      </c>
      <c r="C37" s="10">
        <f t="shared" si="24"/>
        <v>0.005567344941</v>
      </c>
      <c r="D37" s="7">
        <f t="shared" ref="D37:H37" si="25">D27*D17</f>
        <v>0.008736545227</v>
      </c>
      <c r="E37" s="7">
        <f t="shared" si="25"/>
        <v>0.001845158352</v>
      </c>
      <c r="F37" s="7">
        <f t="shared" si="25"/>
        <v>0.00032474787</v>
      </c>
      <c r="G37" s="7">
        <f t="shared" si="25"/>
        <v>0.00004899053581</v>
      </c>
      <c r="H37" s="7">
        <f t="shared" si="25"/>
        <v>0.000006466750727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0.008736545227</v>
      </c>
      <c r="N37" s="7">
        <f>E27*D18</f>
        <v>0.003629729104</v>
      </c>
      <c r="O37" s="7">
        <f>F27*D19</f>
        <v>0.001256687953</v>
      </c>
      <c r="P37" s="7">
        <f>G27*D20</f>
        <v>0.0003729356497</v>
      </c>
      <c r="Q37" s="7">
        <f>H27*D21</f>
        <v>0.00009683857768</v>
      </c>
    </row>
    <row r="38">
      <c r="A38" s="2">
        <v>3.0</v>
      </c>
      <c r="B38" s="10">
        <f t="shared" si="23"/>
        <v>0.0109518806</v>
      </c>
      <c r="C38" s="10">
        <f t="shared" si="24"/>
        <v>0.01156518592</v>
      </c>
      <c r="D38" s="10"/>
      <c r="E38" s="7">
        <f t="shared" ref="E38:H38" si="28">E28*E18</f>
        <v>0.003832993934</v>
      </c>
      <c r="F38" s="7">
        <f t="shared" si="28"/>
        <v>0.0006746069324</v>
      </c>
      <c r="G38" s="7">
        <f t="shared" si="28"/>
        <v>0.0001017692744</v>
      </c>
      <c r="H38" s="7">
        <f t="shared" si="28"/>
        <v>0.00001343354422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0.003832993934</v>
      </c>
      <c r="O38" s="7">
        <f>F28*E19</f>
        <v>0.001327062479</v>
      </c>
      <c r="P38" s="7">
        <f>G28*E20</f>
        <v>0.0003938200461</v>
      </c>
      <c r="Q38" s="7">
        <f>H28*E21</f>
        <v>0.000102261538</v>
      </c>
    </row>
    <row r="39">
      <c r="A39" s="2">
        <v>4.0</v>
      </c>
      <c r="B39" s="10">
        <f t="shared" si="23"/>
        <v>0.01137530876</v>
      </c>
      <c r="C39" s="10">
        <f t="shared" si="24"/>
        <v>0.01201232605</v>
      </c>
      <c r="D39" s="10"/>
      <c r="E39" s="10"/>
      <c r="F39" s="7">
        <f t="shared" ref="F39:H39" si="29">F29*F19</f>
        <v>0.0007006889888</v>
      </c>
      <c r="G39" s="7">
        <f t="shared" si="29"/>
        <v>0.0001057039389</v>
      </c>
      <c r="H39" s="7">
        <f t="shared" si="29"/>
        <v>0.00001395291993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0.0007006889888</v>
      </c>
      <c r="P39" s="7">
        <f>G29*F20</f>
        <v>0.0002079369844</v>
      </c>
      <c r="Q39" s="7">
        <f>H29*F21</f>
        <v>0.00005399409208</v>
      </c>
    </row>
    <row r="40">
      <c r="A40" s="2">
        <v>5.0</v>
      </c>
      <c r="B40" s="10">
        <f t="shared" si="23"/>
        <v>0.007876738494</v>
      </c>
      <c r="C40" s="10">
        <f t="shared" si="24"/>
        <v>0.00831783585</v>
      </c>
      <c r="D40" s="10"/>
      <c r="E40" s="10"/>
      <c r="F40" s="10"/>
      <c r="G40" s="7">
        <f t="shared" ref="G40:H40" si="30">G30*G20</f>
        <v>0.00007319381849</v>
      </c>
      <c r="H40" s="7">
        <f t="shared" si="30"/>
        <v>0.000009661584041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0.00007319381849</v>
      </c>
      <c r="Q40" s="7">
        <f>H30*G21</f>
        <v>0.00001900592041</v>
      </c>
    </row>
    <row r="41">
      <c r="A41" s="2">
        <v>6.0</v>
      </c>
      <c r="B41" s="10">
        <f t="shared" si="23"/>
        <v>0.004090636833</v>
      </c>
      <c r="C41" s="10">
        <f t="shared" si="24"/>
        <v>0.004319712495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36</v>
      </c>
      <c r="C1" s="1" t="s">
        <v>37</v>
      </c>
      <c r="D1" s="2" t="s">
        <v>2</v>
      </c>
      <c r="G1" s="2" t="str">
        <f t="shared" ref="G1:H1" si="1">B1</f>
        <v>aston villa</v>
      </c>
      <c r="H1" s="2" t="str">
        <f t="shared" si="1"/>
        <v>sunderland</v>
      </c>
      <c r="J1" s="3" t="str">
        <f>G1</f>
        <v>aston villa</v>
      </c>
      <c r="K1" s="3" t="s">
        <v>3</v>
      </c>
      <c r="L1" s="3" t="s">
        <v>4</v>
      </c>
      <c r="M1" s="3" t="s">
        <v>5</v>
      </c>
      <c r="N1" s="3" t="str">
        <f>H1</f>
        <v>sunderland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0.1758921462218459</v>
      </c>
      <c r="C2" s="1">
        <v>0.40413754542145125</v>
      </c>
      <c r="D2" s="2" t="s">
        <v>7</v>
      </c>
      <c r="E2" s="1">
        <v>2.5</v>
      </c>
      <c r="F2" s="2" t="s">
        <v>8</v>
      </c>
      <c r="G2" s="1">
        <v>1.82</v>
      </c>
      <c r="H2" s="1">
        <v>5.33</v>
      </c>
      <c r="J2" s="3"/>
      <c r="K2" s="4"/>
      <c r="L2" s="5">
        <v>2.4</v>
      </c>
      <c r="M2" s="6">
        <f t="shared" ref="M2:M11" si="3">IFERROR(-ln(1-(1/L2)),0)</f>
        <v>0.5389965007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1.737884277</v>
      </c>
      <c r="C3" s="7">
        <f t="shared" si="2"/>
        <v>0.906</v>
      </c>
      <c r="D3" s="2" t="s">
        <v>9</v>
      </c>
      <c r="E3" s="1">
        <v>2.03</v>
      </c>
      <c r="F3" s="2" t="s">
        <v>10</v>
      </c>
      <c r="G3" s="8">
        <f>1/(1/G2+SUM(D37:H40))</f>
        <v>1.781140819</v>
      </c>
      <c r="H3" s="8">
        <f>1/(1/H2+SUM(M37:Q40))</f>
        <v>4.948483674</v>
      </c>
      <c r="J3" s="3"/>
      <c r="K3" s="4"/>
      <c r="L3" s="5">
        <v>3.75</v>
      </c>
      <c r="M3" s="6">
        <f t="shared" si="3"/>
        <v>0.3101549283</v>
      </c>
      <c r="N3" s="3"/>
      <c r="O3" s="4"/>
      <c r="P3" s="5">
        <v>2.4</v>
      </c>
      <c r="Q3" s="6">
        <f t="shared" si="4"/>
        <v>0.5389965007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2.75</v>
      </c>
      <c r="Q4" s="6">
        <f t="shared" si="4"/>
        <v>0.4519851237</v>
      </c>
    </row>
    <row r="5">
      <c r="A5" s="2">
        <v>1.0</v>
      </c>
      <c r="B5" s="7">
        <f t="shared" ref="B5:C5" si="5">((B$3^$A5)/FACT($A5))*EXP(-B$3)</f>
        <v>0.3056801954</v>
      </c>
      <c r="C5" s="7">
        <f t="shared" si="5"/>
        <v>0.3661486162</v>
      </c>
      <c r="D5" s="2">
        <v>1.5</v>
      </c>
      <c r="E5" s="7">
        <f>1/(B2*(C2+C5)+B5*C2)</f>
        <v>3.86064418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0.2656184028</v>
      </c>
      <c r="C6" s="7">
        <f t="shared" si="6"/>
        <v>0.1658653231</v>
      </c>
      <c r="D6" s="2">
        <v>2.5</v>
      </c>
      <c r="E6" s="7">
        <f>1/(B2*(C2+C5+C6)+B5*(C2+C5)+B6*C2)</f>
        <v>1.970562603</v>
      </c>
      <c r="F6" s="2" t="s">
        <v>12</v>
      </c>
      <c r="J6" s="3"/>
      <c r="K6" s="4"/>
      <c r="L6" s="5">
        <v>3.5</v>
      </c>
      <c r="M6" s="6">
        <f t="shared" si="3"/>
        <v>0.3364722366</v>
      </c>
      <c r="N6" s="3"/>
      <c r="O6" s="4"/>
      <c r="P6" s="5">
        <v>11.0</v>
      </c>
      <c r="Q6" s="6">
        <f t="shared" si="4"/>
        <v>0.0953101798</v>
      </c>
    </row>
    <row r="7">
      <c r="A7" s="2">
        <v>3.0</v>
      </c>
      <c r="B7" s="7">
        <f t="shared" ref="B7:C7" si="7">((B$3^$A7)/FACT($A7))*EXP(-B$3)</f>
        <v>0.1538713486</v>
      </c>
      <c r="C7" s="7">
        <f t="shared" si="7"/>
        <v>0.05009132758</v>
      </c>
      <c r="D7" s="2">
        <v>3.5</v>
      </c>
      <c r="E7" s="7">
        <f>1/(B2*(C2+C5+C6+C7)+B5*(C2+C5+C6)+B6*(C2+C5)+B7*C2)</f>
        <v>1.376608958</v>
      </c>
      <c r="F7" s="7" t="str">
        <f>B1</f>
        <v>aston villa</v>
      </c>
      <c r="G7" s="2" t="s">
        <v>13</v>
      </c>
      <c r="H7" s="7" t="str">
        <f>C1</f>
        <v>sunderland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0.06685264939</v>
      </c>
      <c r="C8" s="7">
        <f t="shared" si="8"/>
        <v>0.0113456857</v>
      </c>
      <c r="D8" s="2">
        <v>4.5</v>
      </c>
      <c r="E8" s="7">
        <f>1/(B2*(C2+C5+C6+C7+C8)+B5*(C2+C5+C6+C7)+B6*(C2+C5+C6)+B7*(C2+C5)+B8*C2)</f>
        <v>1.147915085</v>
      </c>
      <c r="F8" s="7">
        <f>B5*C2+B6*(C5+C2)+B7*(C6+C5+C2)+B8*(C7+C6+C5+C2)+B9*(C8+C7+C6+C5+C2)+B10*(C9+C8+C7+C6+C5+C2)+B11*(C10+C9+C8+C7+C6+C5+C2)+B12*(C11+C10+C9+C8+C7+C6+C5+C2)</f>
        <v>0.5700610925</v>
      </c>
      <c r="G8" s="7">
        <f>B2*C2+B5*C5+B6*C6+B7*C7+B8*C8+B9*C9+B10*C10+B11*C11+B12*C12</f>
        <v>0.2355819207</v>
      </c>
      <c r="H8" s="7">
        <f>C5*B2+C6*(B5+B2)+C7*(B6+B5+B2)+C8*(B7+B6+B5+B2)+C9*(B8+B7+B6+B5+B2)+C10*(B9+B8+B7+B6+B5+B2)+C11*(B10+B9+B7+B8+B6+B5+B2)</f>
        <v>0.194267416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10.5</v>
      </c>
      <c r="Q8" s="6">
        <f t="shared" si="4"/>
        <v>0.1000834586</v>
      </c>
    </row>
    <row r="9">
      <c r="A9" s="2">
        <v>5.0</v>
      </c>
      <c r="B9" s="7">
        <f t="shared" ref="B9:C9" si="9">((B$3^$A9)/FACT($A9))*EXP(-B$3)</f>
        <v>0.02323643365</v>
      </c>
      <c r="C9" s="7">
        <f t="shared" si="9"/>
        <v>0.002055838248</v>
      </c>
      <c r="F9" s="9">
        <f t="shared" ref="F9:H9" si="10">1/F8</f>
        <v>1.75419795</v>
      </c>
      <c r="G9" s="9">
        <f t="shared" si="10"/>
        <v>4.244807908</v>
      </c>
      <c r="H9" s="9">
        <f t="shared" si="10"/>
        <v>5.147543631</v>
      </c>
      <c r="J9" s="3"/>
      <c r="K9" s="4"/>
      <c r="L9" s="5">
        <v>5.0</v>
      </c>
      <c r="M9" s="6">
        <f t="shared" si="3"/>
        <v>0.2231435513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0.006730372118</v>
      </c>
      <c r="C10" s="7">
        <f t="shared" si="11"/>
        <v>0.0003104315755</v>
      </c>
      <c r="J10" s="3"/>
      <c r="K10" s="4"/>
      <c r="L10" s="5">
        <v>12.0</v>
      </c>
      <c r="M10" s="6">
        <f t="shared" si="3"/>
        <v>0.08701137699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0.001670943983</v>
      </c>
      <c r="C11" s="7">
        <f t="shared" si="12"/>
        <v>0.00004017871534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12.5</v>
      </c>
      <c r="Q11" s="6">
        <f t="shared" si="4"/>
        <v>0.08338160894</v>
      </c>
    </row>
    <row r="12">
      <c r="A12" s="2">
        <v>8.0</v>
      </c>
      <c r="B12" s="7">
        <f t="shared" ref="B12:C12" si="13">((B$3^$A12)/FACT($A12))*EXP(-B$3)</f>
        <v>0.0003629884097</v>
      </c>
      <c r="C12" s="7">
        <f t="shared" si="13"/>
        <v>0.000004550239513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sunderland</v>
      </c>
      <c r="J13" s="3"/>
      <c r="K13" s="3"/>
      <c r="L13" s="3" t="s">
        <v>14</v>
      </c>
      <c r="M13" s="6">
        <f>SUM(M2:M11)</f>
        <v>2.209128482</v>
      </c>
      <c r="N13" s="3"/>
      <c r="O13" s="3"/>
      <c r="P13" s="3" t="s">
        <v>14</v>
      </c>
      <c r="Q13" s="6">
        <f>SUM(Q2:Q11)</f>
        <v>2.1726337</v>
      </c>
    </row>
    <row r="14">
      <c r="A14" s="7" t="str">
        <f>B1</f>
        <v>aston villa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1.829980682</v>
      </c>
      <c r="N14" s="3"/>
      <c r="O14" s="3"/>
      <c r="P14" s="3" t="s">
        <v>15</v>
      </c>
      <c r="Q14" s="6">
        <f>SUM(Q2:Q8)</f>
        <v>1.951266348</v>
      </c>
    </row>
    <row r="15">
      <c r="A15" s="2">
        <v>0.0</v>
      </c>
      <c r="B15" s="7">
        <f>B2*$C$2</f>
        <v>0.07108462023</v>
      </c>
      <c r="C15" s="7">
        <f>C5*B2</f>
        <v>0.06440266593</v>
      </c>
      <c r="D15" s="7">
        <f>C6*B2</f>
        <v>0.02917440767</v>
      </c>
      <c r="E15" s="7">
        <f>C7*B2</f>
        <v>0.008810671115</v>
      </c>
      <c r="F15" s="7">
        <f>C8*B2</f>
        <v>0.001995617008</v>
      </c>
      <c r="G15" s="7">
        <f>C9*B2</f>
        <v>0.0003616058018</v>
      </c>
      <c r="H15" s="7">
        <f>$C$10*B2</f>
        <v>0.00005460247607</v>
      </c>
    </row>
    <row r="16">
      <c r="A16" s="2">
        <v>1.0</v>
      </c>
      <c r="B16" s="7">
        <f t="shared" ref="B16:B21" si="14">B5*$C$2</f>
        <v>0.1235368439</v>
      </c>
      <c r="C16" s="7">
        <f t="shared" ref="C16:C21" si="15">$C$5*B5</f>
        <v>0.1119243805</v>
      </c>
      <c r="D16" s="7">
        <f t="shared" ref="D16:D21" si="16">$C$6*B5</f>
        <v>0.05070174438</v>
      </c>
      <c r="E16" s="7">
        <f t="shared" ref="E16:E21" si="17">$C$7*B5</f>
        <v>0.0153119268</v>
      </c>
      <c r="F16" s="7">
        <f t="shared" ref="F16:F21" si="18">$C$8*B5</f>
        <v>0.003468151421</v>
      </c>
      <c r="G16" s="7">
        <f t="shared" ref="G16:G21" si="19">$C$9*B5</f>
        <v>0.0006284290375</v>
      </c>
      <c r="H16" s="7">
        <f t="shared" ref="H16:H21" si="20">$C$10*B5</f>
        <v>0.00009489278466</v>
      </c>
    </row>
    <row r="17">
      <c r="A17" s="2">
        <v>2.0</v>
      </c>
      <c r="B17" s="7">
        <f t="shared" si="14"/>
        <v>0.1073463693</v>
      </c>
      <c r="C17" s="7">
        <f t="shared" si="15"/>
        <v>0.0972558106</v>
      </c>
      <c r="D17" s="7">
        <f t="shared" si="16"/>
        <v>0.0440568822</v>
      </c>
      <c r="E17" s="7">
        <f t="shared" si="17"/>
        <v>0.01330517842</v>
      </c>
      <c r="F17" s="7">
        <f t="shared" si="18"/>
        <v>0.003013622913</v>
      </c>
      <c r="G17" s="7">
        <f t="shared" si="19"/>
        <v>0.0005460684719</v>
      </c>
      <c r="H17" s="7">
        <f t="shared" si="20"/>
        <v>0.00008245633925</v>
      </c>
    </row>
    <row r="18">
      <c r="A18" s="2">
        <v>3.0</v>
      </c>
      <c r="B18" s="7">
        <f t="shared" si="14"/>
        <v>0.06218518915</v>
      </c>
      <c r="C18" s="7">
        <f t="shared" si="15"/>
        <v>0.05633978137</v>
      </c>
      <c r="D18" s="7">
        <f t="shared" si="16"/>
        <v>0.02552192096</v>
      </c>
      <c r="E18" s="7">
        <f t="shared" si="17"/>
        <v>0.00770762013</v>
      </c>
      <c r="F18" s="7">
        <f t="shared" si="18"/>
        <v>0.00174577596</v>
      </c>
      <c r="G18" s="7">
        <f t="shared" si="19"/>
        <v>0.0003163346039</v>
      </c>
      <c r="H18" s="7">
        <f t="shared" si="20"/>
        <v>0.00004776652518</v>
      </c>
    </row>
    <row r="19">
      <c r="A19" s="2">
        <v>4.0</v>
      </c>
      <c r="B19" s="7">
        <f t="shared" si="14"/>
        <v>0.02701766563</v>
      </c>
      <c r="C19" s="7">
        <f t="shared" si="15"/>
        <v>0.02447800506</v>
      </c>
      <c r="D19" s="7">
        <f t="shared" si="16"/>
        <v>0.01108853629</v>
      </c>
      <c r="E19" s="7">
        <f t="shared" si="17"/>
        <v>0.00334873796</v>
      </c>
      <c r="F19" s="7">
        <f t="shared" si="18"/>
        <v>0.000758489148</v>
      </c>
      <c r="G19" s="7">
        <f t="shared" si="19"/>
        <v>0.0001374382336</v>
      </c>
      <c r="H19" s="7">
        <f t="shared" si="20"/>
        <v>0.00002075317328</v>
      </c>
    </row>
    <row r="20">
      <c r="A20" s="2">
        <v>5.0</v>
      </c>
      <c r="B20" s="7">
        <f t="shared" si="14"/>
        <v>0.009390715261</v>
      </c>
      <c r="C20" s="7">
        <f t="shared" si="15"/>
        <v>0.008507988027</v>
      </c>
      <c r="D20" s="7">
        <f t="shared" si="16"/>
        <v>0.003854118576</v>
      </c>
      <c r="E20" s="7">
        <f t="shared" si="17"/>
        <v>0.00116394381</v>
      </c>
      <c r="F20" s="7">
        <f t="shared" si="18"/>
        <v>0.000263633273</v>
      </c>
      <c r="G20" s="7">
        <f t="shared" si="19"/>
        <v>0.00004777034906</v>
      </c>
      <c r="H20" s="7">
        <f t="shared" si="20"/>
        <v>0.000007213322708</v>
      </c>
    </row>
    <row r="21">
      <c r="A21" s="2">
        <v>6.0</v>
      </c>
      <c r="B21" s="7">
        <f t="shared" si="14"/>
        <v>0.002719996068</v>
      </c>
      <c r="C21" s="7">
        <f t="shared" si="15"/>
        <v>0.002464316437</v>
      </c>
      <c r="D21" s="7">
        <f t="shared" si="16"/>
        <v>0.001116335346</v>
      </c>
      <c r="E21" s="7">
        <f t="shared" si="17"/>
        <v>0.0003371332745</v>
      </c>
      <c r="F21" s="7">
        <f t="shared" si="18"/>
        <v>0.00007636068668</v>
      </c>
      <c r="G21" s="7">
        <f t="shared" si="19"/>
        <v>0.00001383655643</v>
      </c>
      <c r="H21" s="7">
        <f t="shared" si="20"/>
        <v>0.00000208932002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0.0001466972449</v>
      </c>
      <c r="C25" s="10">
        <f>C15*B12</f>
        <v>0.00002337742128</v>
      </c>
      <c r="D25" s="10">
        <f>C16*B12</f>
        <v>0.00004062725289</v>
      </c>
      <c r="E25" s="10">
        <f>C17*B12</f>
        <v>0.00003530273202</v>
      </c>
      <c r="F25" s="10">
        <f>C18*B12</f>
        <v>0.00002045068764</v>
      </c>
      <c r="G25" s="10">
        <f>C19*B12</f>
        <v>0.000008885232128</v>
      </c>
      <c r="H25" s="10">
        <f>$C$10*B12</f>
        <v>0.0000001126830639</v>
      </c>
    </row>
    <row r="26">
      <c r="A26" s="2">
        <v>1.0</v>
      </c>
      <c r="B26" s="10">
        <f t="shared" ref="B26:B31" si="21">B15*$C$2</f>
        <v>0.02872796394</v>
      </c>
      <c r="C26" s="10">
        <f t="shared" ref="C26:C31" si="22">$C$5*B15</f>
        <v>0.02602753533</v>
      </c>
      <c r="D26" s="10">
        <f>$C$6*B15</f>
        <v>0.0117904735</v>
      </c>
      <c r="E26" s="10">
        <f>$C$7*B15</f>
        <v>0.003560722998</v>
      </c>
      <c r="F26" s="10">
        <f>$C$8*B15</f>
        <v>0.0008065037591</v>
      </c>
      <c r="G26" s="10">
        <f>$C$9*B15</f>
        <v>0.0001461384811</v>
      </c>
      <c r="H26" s="10">
        <f>$C$10*B15</f>
        <v>0.00002206691065</v>
      </c>
    </row>
    <row r="27">
      <c r="A27" s="2">
        <v>2.0</v>
      </c>
      <c r="B27" s="10">
        <f t="shared" si="21"/>
        <v>0.04992587685</v>
      </c>
      <c r="C27" s="10">
        <f t="shared" si="22"/>
        <v>0.04523284442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0.0433826982</v>
      </c>
      <c r="C28" s="10">
        <f t="shared" si="22"/>
        <v>0.03930472457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0.02513136971</v>
      </c>
      <c r="C29" s="10">
        <f t="shared" si="22"/>
        <v>0.02276902095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0.01091885307</v>
      </c>
      <c r="C30" s="10">
        <f t="shared" si="22"/>
        <v>0.009892480881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0.003795140615</v>
      </c>
      <c r="C31" s="10">
        <f t="shared" si="22"/>
        <v>0.003438397398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aston villa</v>
      </c>
      <c r="J33" s="2" t="s">
        <v>17</v>
      </c>
      <c r="K33" s="7" t="str">
        <f>B13</f>
        <v>sunderland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0.00005928586447</v>
      </c>
      <c r="C36" s="10">
        <f t="shared" ref="C36:C41" si="24">$C$5*B25</f>
        <v>0.00005371299321</v>
      </c>
      <c r="D36" s="10">
        <f>$C$6*B25</f>
        <v>0.00002433198592</v>
      </c>
      <c r="E36" s="10">
        <f>$C$7*B25</f>
        <v>0.000007348259749</v>
      </c>
      <c r="F36" s="10">
        <f>$C$8*B25</f>
        <v>0.000001664380833</v>
      </c>
      <c r="G36" s="10">
        <f>$C$9*B25</f>
        <v>0.000000301585807</v>
      </c>
      <c r="H36" s="10">
        <f>$C$10*B25</f>
        <v>0.00000004553945685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0.01161004883</v>
      </c>
      <c r="C37" s="10">
        <f t="shared" si="24"/>
        <v>0.01051870424</v>
      </c>
      <c r="D37" s="7">
        <f t="shared" ref="D37:H37" si="25">D27*D17</f>
        <v>0.0073428137</v>
      </c>
      <c r="E37" s="7">
        <f t="shared" si="25"/>
        <v>0.001330517842</v>
      </c>
      <c r="F37" s="7">
        <f t="shared" si="25"/>
        <v>0.0002009081942</v>
      </c>
      <c r="G37" s="7">
        <f t="shared" si="25"/>
        <v>0.00002600326056</v>
      </c>
      <c r="H37" s="7">
        <f t="shared" si="25"/>
        <v>0.000002944869259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0.0073428137</v>
      </c>
      <c r="N37" s="7">
        <f>E27*D18</f>
        <v>0.002552192096</v>
      </c>
      <c r="O37" s="7">
        <f>F27*D19</f>
        <v>0.0007392357528</v>
      </c>
      <c r="P37" s="7">
        <f>G27*D20</f>
        <v>0.000183529456</v>
      </c>
      <c r="Q37" s="7">
        <f>H27*D21</f>
        <v>0.0000398691195</v>
      </c>
    </row>
    <row r="38">
      <c r="A38" s="2">
        <v>3.0</v>
      </c>
      <c r="B38" s="10">
        <f t="shared" si="23"/>
        <v>0.02017692132</v>
      </c>
      <c r="C38" s="10">
        <f t="shared" si="24"/>
        <v>0.01828029072</v>
      </c>
      <c r="D38" s="10"/>
      <c r="E38" s="7">
        <f t="shared" ref="E38:H38" si="28">E28*E18</f>
        <v>0.002312286039</v>
      </c>
      <c r="F38" s="7">
        <f t="shared" si="28"/>
        <v>0.0003491551919</v>
      </c>
      <c r="G38" s="7">
        <f t="shared" si="28"/>
        <v>0.0000451906577</v>
      </c>
      <c r="H38" s="7">
        <f t="shared" si="28"/>
        <v>0.000005117841984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0.002312286039</v>
      </c>
      <c r="O38" s="7">
        <f>F28*E19</f>
        <v>0.000669747592</v>
      </c>
      <c r="P38" s="7">
        <f>G28*E20</f>
        <v>0.0001662776871</v>
      </c>
      <c r="Q38" s="7">
        <f>H28*E21</f>
        <v>0.00003612142227</v>
      </c>
    </row>
    <row r="39">
      <c r="A39" s="2">
        <v>4.0</v>
      </c>
      <c r="B39" s="10">
        <f t="shared" si="23"/>
        <v>0.01753257717</v>
      </c>
      <c r="C39" s="10">
        <f t="shared" si="24"/>
        <v>0.01588451491</v>
      </c>
      <c r="D39" s="10"/>
      <c r="E39" s="10"/>
      <c r="F39" s="7">
        <f t="shared" ref="F39:H39" si="29">F29*F19</f>
        <v>0.0003033956592</v>
      </c>
      <c r="G39" s="7">
        <f t="shared" si="29"/>
        <v>0.00003926806675</v>
      </c>
      <c r="H39" s="7">
        <f t="shared" si="29"/>
        <v>0.000004447108559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0.0003033956592</v>
      </c>
      <c r="P39" s="7">
        <f>G29*F20</f>
        <v>0.00007532379227</v>
      </c>
      <c r="Q39" s="7">
        <f>H29*F21</f>
        <v>0.00001636300429</v>
      </c>
    </row>
    <row r="40">
      <c r="A40" s="2">
        <v>5.0</v>
      </c>
      <c r="B40" s="10">
        <f t="shared" si="23"/>
        <v>0.01015653007</v>
      </c>
      <c r="C40" s="10">
        <f t="shared" si="24"/>
        <v>0.00920181624</v>
      </c>
      <c r="D40" s="10"/>
      <c r="E40" s="10"/>
      <c r="F40" s="10"/>
      <c r="G40" s="7">
        <f t="shared" ref="G40:H40" si="30">G30*G20</f>
        <v>0.00002274778527</v>
      </c>
      <c r="H40" s="7">
        <f t="shared" si="30"/>
        <v>0.000002576186681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0.00002274778527</v>
      </c>
      <c r="Q40" s="7">
        <f>H30*G21</f>
        <v>0.000004941627295</v>
      </c>
    </row>
    <row r="41">
      <c r="A41" s="2">
        <v>6.0</v>
      </c>
      <c r="B41" s="10">
        <f t="shared" si="23"/>
        <v>0.004412718478</v>
      </c>
      <c r="C41" s="10">
        <f t="shared" si="24"/>
        <v>0.003997922941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38</v>
      </c>
      <c r="C1" s="1" t="s">
        <v>39</v>
      </c>
      <c r="D1" s="2" t="s">
        <v>2</v>
      </c>
      <c r="G1" s="2" t="str">
        <f t="shared" ref="G1:H1" si="1">B1</f>
        <v>hoffenheim</v>
      </c>
      <c r="H1" s="2" t="str">
        <f t="shared" si="1"/>
        <v>dortmund</v>
      </c>
      <c r="J1" s="3" t="str">
        <f>G1</f>
        <v>hoffenheim</v>
      </c>
      <c r="K1" s="3" t="s">
        <v>3</v>
      </c>
      <c r="L1" s="3" t="s">
        <v>4</v>
      </c>
      <c r="M1" s="3" t="s">
        <v>5</v>
      </c>
      <c r="N1" s="3" t="str">
        <f>H1</f>
        <v>dortmund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0.15878044022275234</v>
      </c>
      <c r="C2" s="1">
        <v>0.21524034317051735</v>
      </c>
      <c r="D2" s="2" t="s">
        <v>7</v>
      </c>
      <c r="E2" s="1">
        <v>2.5</v>
      </c>
      <c r="F2" s="2" t="s">
        <v>8</v>
      </c>
      <c r="G2" s="1">
        <v>2.28</v>
      </c>
      <c r="H2" s="1">
        <v>3.17</v>
      </c>
      <c r="J2" s="3"/>
      <c r="K2" s="4"/>
      <c r="L2" s="5">
        <v>3.25</v>
      </c>
      <c r="M2" s="6">
        <f t="shared" ref="M2:M11" si="3">IFERROR(-ln(1-(1/L2)),0)</f>
        <v>0.3677247801</v>
      </c>
      <c r="N2" s="3"/>
      <c r="O2" s="4"/>
      <c r="P2" s="5">
        <v>3.0</v>
      </c>
      <c r="Q2" s="6">
        <f t="shared" ref="Q2:Q11" si="4">IFERROR(-ln(1-(1/P2)),0)</f>
        <v>0.4054651081</v>
      </c>
    </row>
    <row r="3">
      <c r="A3" s="2" t="s">
        <v>5</v>
      </c>
      <c r="B3" s="7">
        <f t="shared" ref="B3:C3" si="2">-ln(B2)</f>
        <v>1.84023291</v>
      </c>
      <c r="C3" s="7">
        <f t="shared" si="2"/>
        <v>1.536</v>
      </c>
      <c r="D3" s="2" t="s">
        <v>9</v>
      </c>
      <c r="E3" s="1">
        <v>1.525</v>
      </c>
      <c r="F3" s="2" t="s">
        <v>10</v>
      </c>
      <c r="G3" s="8">
        <f>1/(1/G2+SUM(D37:H40))</f>
        <v>2.149331525</v>
      </c>
      <c r="H3" s="8">
        <f>1/(1/H2+SUM(M37:Q40))</f>
        <v>2.906810566</v>
      </c>
      <c r="J3" s="3"/>
      <c r="K3" s="4"/>
      <c r="L3" s="5">
        <v>5.0</v>
      </c>
      <c r="M3" s="6">
        <f t="shared" si="3"/>
        <v>0.2231435513</v>
      </c>
      <c r="N3" s="3"/>
      <c r="O3" s="4"/>
      <c r="P3" s="5">
        <v>3.4</v>
      </c>
      <c r="Q3" s="6">
        <f t="shared" si="4"/>
        <v>0.3483066943</v>
      </c>
    </row>
    <row r="4">
      <c r="A4" s="2" t="s">
        <v>11</v>
      </c>
      <c r="J4" s="3"/>
      <c r="K4" s="4"/>
      <c r="L4" s="5">
        <v>6.0</v>
      </c>
      <c r="M4" s="6">
        <f t="shared" si="3"/>
        <v>0.1823215568</v>
      </c>
      <c r="N4" s="3"/>
      <c r="O4" s="4"/>
      <c r="P4" s="5">
        <v>8.5</v>
      </c>
      <c r="Q4" s="6">
        <f t="shared" si="4"/>
        <v>0.125163143</v>
      </c>
    </row>
    <row r="5">
      <c r="A5" s="2">
        <v>1.0</v>
      </c>
      <c r="B5" s="7">
        <f t="shared" ref="B5:C5" si="5">((B$3^$A5)/FACT($A5))*EXP(-B$3)</f>
        <v>0.2921929916</v>
      </c>
      <c r="C5" s="7">
        <f t="shared" si="5"/>
        <v>0.3306091671</v>
      </c>
      <c r="D5" s="2">
        <v>1.5</v>
      </c>
      <c r="E5" s="7">
        <f>1/(B2*(C2+C5)+B5*C2)</f>
        <v>6.686192787</v>
      </c>
      <c r="J5" s="3"/>
      <c r="K5" s="4"/>
      <c r="L5" s="5">
        <v>3.5</v>
      </c>
      <c r="M5" s="6">
        <f t="shared" si="3"/>
        <v>0.3364722366</v>
      </c>
      <c r="N5" s="3"/>
      <c r="O5" s="4"/>
      <c r="P5" s="5">
        <v>10.0</v>
      </c>
      <c r="Q5" s="6">
        <f t="shared" si="4"/>
        <v>0.1053605157</v>
      </c>
    </row>
    <row r="6">
      <c r="A6" s="2">
        <v>2.0</v>
      </c>
      <c r="B6" s="7">
        <f t="shared" ref="B6:C6" si="6">((B$3^$A6)/FACT($A6))*EXP(-B$3)</f>
        <v>0.2688515796</v>
      </c>
      <c r="C6" s="7">
        <f t="shared" si="6"/>
        <v>0.2539078403</v>
      </c>
      <c r="D6" s="2">
        <v>2.5</v>
      </c>
      <c r="E6" s="7">
        <f>1/(B2*(C2+C5+C6)+B5*(C2+C5)+B6*C2)</f>
        <v>2.904047946</v>
      </c>
      <c r="F6" s="2" t="s">
        <v>12</v>
      </c>
      <c r="J6" s="3"/>
      <c r="K6" s="4"/>
      <c r="L6" s="5">
        <v>6.5</v>
      </c>
      <c r="M6" s="6">
        <f t="shared" si="3"/>
        <v>0.1670540847</v>
      </c>
      <c r="N6" s="3"/>
      <c r="O6" s="4"/>
      <c r="P6" s="5">
        <v>10.0</v>
      </c>
      <c r="Q6" s="6">
        <f t="shared" si="4"/>
        <v>0.1053605157</v>
      </c>
    </row>
    <row r="7">
      <c r="A7" s="2">
        <v>3.0</v>
      </c>
      <c r="B7" s="7">
        <f t="shared" ref="B7:C7" si="7">((B$3^$A7)/FACT($A7))*EXP(-B$3)</f>
        <v>0.1649165083</v>
      </c>
      <c r="C7" s="7">
        <f t="shared" si="7"/>
        <v>0.1300008143</v>
      </c>
      <c r="D7" s="2">
        <v>3.5</v>
      </c>
      <c r="E7" s="7">
        <f>1/(B2*(C2+C5+C6+C7)+B5*(C2+C5+C6)+B6*(C2+C5)+B7*C2)</f>
        <v>1.774433664</v>
      </c>
      <c r="F7" s="7" t="str">
        <f>B1</f>
        <v>hoffenheim</v>
      </c>
      <c r="G7" s="2" t="s">
        <v>13</v>
      </c>
      <c r="H7" s="7" t="str">
        <f>C1</f>
        <v>dortmund</v>
      </c>
      <c r="J7" s="3"/>
      <c r="K7" s="4"/>
      <c r="L7" s="5">
        <v>13.0</v>
      </c>
      <c r="M7" s="6">
        <f t="shared" si="3"/>
        <v>0.08004270767</v>
      </c>
      <c r="N7" s="3"/>
      <c r="O7" s="4"/>
      <c r="P7" s="5">
        <v>15.0</v>
      </c>
      <c r="Q7" s="6">
        <f t="shared" si="4"/>
        <v>0.06899287149</v>
      </c>
    </row>
    <row r="8">
      <c r="A8" s="2">
        <v>4.0</v>
      </c>
      <c r="B8" s="7">
        <f t="shared" ref="B8:C8" si="8">((B$3^$A8)/FACT($A8))*EXP(-B$3)</f>
        <v>0.07587119648</v>
      </c>
      <c r="C8" s="7">
        <f t="shared" si="8"/>
        <v>0.04992031267</v>
      </c>
      <c r="D8" s="2">
        <v>4.5</v>
      </c>
      <c r="E8" s="7">
        <f>1/(B2*(C2+C5+C6+C7+C8)+B5*(C2+C5+C6+C7)+B6*(C2+C5+C6)+B7*(C2+C5)+B8*C2)</f>
        <v>1.335846927</v>
      </c>
      <c r="F8" s="7">
        <f>B5*C2+B6*(C5+C2)+B7*(C6+C5+C2)+B8*(C7+C6+C5+C2)+B9*(C8+C7+C6+C5+C2)+B10*(C9+C8+C7+C6+C5+C2)+B11*(C10+C9+C8+C7+C6+C5+C2)+B12*(C11+C10+C9+C8+C7+C6+C5+C2)</f>
        <v>0.45072468</v>
      </c>
      <c r="G8" s="7">
        <f>B2*C2+B5*C5+B6*C6+B7*C7+B8*C8+B9*C9+B10*C10+B11*C11+B12*C12</f>
        <v>0.2247318358</v>
      </c>
      <c r="H8" s="7">
        <f>C5*B2+C6*(B5+B2)+C7*(B6+B5+B2)+C8*(B7+B6+B5+B2)+C9*(B8+B7+B6+B5+B2)+C10*(B9+B8+B7+B6+B5+B2)+C11*(B10+B9+B7+B8+B6+B5+B2)</f>
        <v>0.3242157118</v>
      </c>
      <c r="J8" s="3"/>
      <c r="K8" s="4"/>
      <c r="L8" s="5">
        <v>15.0</v>
      </c>
      <c r="M8" s="6">
        <f t="shared" si="3"/>
        <v>0.06899287149</v>
      </c>
      <c r="N8" s="3"/>
      <c r="O8" s="4"/>
      <c r="P8" s="5">
        <v>15.0</v>
      </c>
      <c r="Q8" s="6">
        <f t="shared" si="4"/>
        <v>0.06899287149</v>
      </c>
    </row>
    <row r="9">
      <c r="A9" s="2">
        <v>5.0</v>
      </c>
      <c r="B9" s="7">
        <f t="shared" ref="B9:C9" si="9">((B$3^$A9)/FACT($A9))*EXP(-B$3)</f>
        <v>0.02792413454</v>
      </c>
      <c r="C9" s="7">
        <f t="shared" si="9"/>
        <v>0.01533552005</v>
      </c>
      <c r="F9" s="9">
        <f t="shared" ref="F9:H9" si="10">1/F8</f>
        <v>2.218649309</v>
      </c>
      <c r="G9" s="9">
        <f t="shared" si="10"/>
        <v>4.449747836</v>
      </c>
      <c r="H9" s="9">
        <f t="shared" si="10"/>
        <v>3.084366253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0.008564485228</v>
      </c>
      <c r="C10" s="7">
        <f t="shared" si="11"/>
        <v>0.003925893134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0.002251521082</v>
      </c>
      <c r="C11" s="7">
        <f t="shared" si="12"/>
        <v>0.0008614531219</v>
      </c>
      <c r="J11" s="3"/>
      <c r="K11" s="4"/>
      <c r="L11" s="5">
        <v>12.0</v>
      </c>
      <c r="M11" s="6">
        <f t="shared" si="3"/>
        <v>0.08701137699</v>
      </c>
      <c r="N11" s="3"/>
      <c r="O11" s="4"/>
      <c r="P11" s="5">
        <v>8.0</v>
      </c>
      <c r="Q11" s="6">
        <f t="shared" si="4"/>
        <v>0.1335313926</v>
      </c>
    </row>
    <row r="12">
      <c r="A12" s="2">
        <v>8.0</v>
      </c>
      <c r="B12" s="7">
        <f t="shared" ref="B12:C12" si="13">((B$3^$A12)/FACT($A12))*EXP(-B$3)</f>
        <v>0.0005179153991</v>
      </c>
      <c r="C12" s="7">
        <f t="shared" si="13"/>
        <v>0.0001653989994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dortmund</v>
      </c>
      <c r="J13" s="3"/>
      <c r="K13" s="3"/>
      <c r="L13" s="3" t="s">
        <v>14</v>
      </c>
      <c r="M13" s="6">
        <f>SUM(M2:M11)</f>
        <v>1.650748909</v>
      </c>
      <c r="N13" s="3"/>
      <c r="O13" s="3"/>
      <c r="P13" s="3" t="s">
        <v>14</v>
      </c>
      <c r="Q13" s="6">
        <f>SUM(Q2:Q11)</f>
        <v>1.499158855</v>
      </c>
    </row>
    <row r="14">
      <c r="A14" s="7" t="str">
        <f>B1</f>
        <v>hoffenheim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1.425751789</v>
      </c>
      <c r="N14" s="3"/>
      <c r="O14" s="3"/>
      <c r="P14" s="3" t="s">
        <v>15</v>
      </c>
      <c r="Q14" s="6">
        <f>SUM(Q2:Q8)</f>
        <v>1.22764172</v>
      </c>
    </row>
    <row r="15">
      <c r="A15" s="2">
        <v>0.0</v>
      </c>
      <c r="B15" s="7">
        <f>B2*$C$2</f>
        <v>0.03417595644</v>
      </c>
      <c r="C15" s="7">
        <f>C5*B2</f>
        <v>0.0524942691</v>
      </c>
      <c r="D15" s="7">
        <f>C6*B2</f>
        <v>0.04031559867</v>
      </c>
      <c r="E15" s="7">
        <f>C7*B2</f>
        <v>0.02064158652</v>
      </c>
      <c r="F15" s="7">
        <f>C8*B2</f>
        <v>0.007926369222</v>
      </c>
      <c r="G15" s="7">
        <f>C9*B2</f>
        <v>0.002434980625</v>
      </c>
      <c r="H15" s="7">
        <f>$C$10*B2</f>
        <v>0.00062335504</v>
      </c>
    </row>
    <row r="16">
      <c r="A16" s="2">
        <v>1.0</v>
      </c>
      <c r="B16" s="7">
        <f t="shared" ref="B16:B21" si="14">B5*$C$2</f>
        <v>0.06289171978</v>
      </c>
      <c r="C16" s="7">
        <f t="shared" ref="C16:C21" si="15">$C$5*B5</f>
        <v>0.09660168158</v>
      </c>
      <c r="D16" s="7">
        <f t="shared" ref="D16:D21" si="16">$C$6*B5</f>
        <v>0.07419009146</v>
      </c>
      <c r="E16" s="7">
        <f t="shared" ref="E16:E21" si="17">$C$7*B5</f>
        <v>0.03798532683</v>
      </c>
      <c r="F16" s="7">
        <f t="shared" ref="F16:F21" si="18">$C$8*B5</f>
        <v>0.0145863655</v>
      </c>
      <c r="G16" s="7">
        <f t="shared" ref="G16:G21" si="19">$C$9*B5</f>
        <v>0.004480931482</v>
      </c>
      <c r="H16" s="7">
        <f t="shared" ref="H16:H21" si="20">$C$10*B5</f>
        <v>0.001147118459</v>
      </c>
    </row>
    <row r="17">
      <c r="A17" s="2">
        <v>2.0</v>
      </c>
      <c r="B17" s="7">
        <f t="shared" si="14"/>
        <v>0.05786770626</v>
      </c>
      <c r="C17" s="7">
        <f t="shared" si="15"/>
        <v>0.08888479681</v>
      </c>
      <c r="D17" s="7">
        <f t="shared" si="16"/>
        <v>0.06826352395</v>
      </c>
      <c r="E17" s="7">
        <f t="shared" si="17"/>
        <v>0.03495092426</v>
      </c>
      <c r="F17" s="7">
        <f t="shared" si="18"/>
        <v>0.01342115492</v>
      </c>
      <c r="G17" s="7">
        <f t="shared" si="19"/>
        <v>0.004122978791</v>
      </c>
      <c r="H17" s="7">
        <f t="shared" si="20"/>
        <v>0.00105548257</v>
      </c>
    </row>
    <row r="18">
      <c r="A18" s="2">
        <v>3.0</v>
      </c>
      <c r="B18" s="7">
        <f t="shared" si="14"/>
        <v>0.03549668583</v>
      </c>
      <c r="C18" s="7">
        <f t="shared" si="15"/>
        <v>0.05452290944</v>
      </c>
      <c r="D18" s="7">
        <f t="shared" si="16"/>
        <v>0.04187359445</v>
      </c>
      <c r="E18" s="7">
        <f t="shared" si="17"/>
        <v>0.02143928036</v>
      </c>
      <c r="F18" s="7">
        <f t="shared" si="18"/>
        <v>0.008232683657</v>
      </c>
      <c r="G18" s="7">
        <f t="shared" si="19"/>
        <v>0.002529080419</v>
      </c>
      <c r="H18" s="7">
        <f t="shared" si="20"/>
        <v>0.0006474445874</v>
      </c>
    </row>
    <row r="19">
      <c r="A19" s="2">
        <v>4.0</v>
      </c>
      <c r="B19" s="7">
        <f t="shared" si="14"/>
        <v>0.01633054237</v>
      </c>
      <c r="C19" s="7">
        <f t="shared" si="15"/>
        <v>0.02508371308</v>
      </c>
      <c r="D19" s="7">
        <f t="shared" si="16"/>
        <v>0.01926429164</v>
      </c>
      <c r="E19" s="7">
        <f t="shared" si="17"/>
        <v>0.009863317321</v>
      </c>
      <c r="F19" s="7">
        <f t="shared" si="18"/>
        <v>0.003787513851</v>
      </c>
      <c r="G19" s="7">
        <f t="shared" si="19"/>
        <v>0.001163524255</v>
      </c>
      <c r="H19" s="7">
        <f t="shared" si="20"/>
        <v>0.0002978622093</v>
      </c>
    </row>
    <row r="20">
      <c r="A20" s="2">
        <v>5.0</v>
      </c>
      <c r="B20" s="7">
        <f t="shared" si="14"/>
        <v>0.006010400301</v>
      </c>
      <c r="C20" s="7">
        <f t="shared" si="15"/>
        <v>0.009231974862</v>
      </c>
      <c r="D20" s="7">
        <f t="shared" si="16"/>
        <v>0.007090156694</v>
      </c>
      <c r="E20" s="7">
        <f t="shared" si="17"/>
        <v>0.003630160227</v>
      </c>
      <c r="F20" s="7">
        <f t="shared" si="18"/>
        <v>0.001393981527</v>
      </c>
      <c r="G20" s="7">
        <f t="shared" si="19"/>
        <v>0.0004282311252</v>
      </c>
      <c r="H20" s="7">
        <f t="shared" si="20"/>
        <v>0.000109627168</v>
      </c>
    </row>
    <row r="21">
      <c r="A21" s="2">
        <v>6.0</v>
      </c>
      <c r="B21" s="7">
        <f t="shared" si="14"/>
        <v>0.001843422739</v>
      </c>
      <c r="C21" s="7">
        <f t="shared" si="15"/>
        <v>0.002831497328</v>
      </c>
      <c r="D21" s="7">
        <f t="shared" si="16"/>
        <v>0.002174589948</v>
      </c>
      <c r="E21" s="7">
        <f t="shared" si="17"/>
        <v>0.001113390053</v>
      </c>
      <c r="F21" s="7">
        <f t="shared" si="18"/>
        <v>0.0004275417805</v>
      </c>
      <c r="G21" s="7">
        <f t="shared" si="19"/>
        <v>0.000131340835</v>
      </c>
      <c r="H21" s="7">
        <f t="shared" si="20"/>
        <v>0.00003362325375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0.0001114762882</v>
      </c>
      <c r="C25" s="10">
        <f>C15*B12</f>
        <v>0.00002718759033</v>
      </c>
      <c r="D25" s="10">
        <f>C16*B12</f>
        <v>0.00005003149848</v>
      </c>
      <c r="E25" s="10">
        <f>C17*B12</f>
        <v>0.00004603480502</v>
      </c>
      <c r="F25" s="10">
        <f>C18*B12</f>
        <v>0.0000282382544</v>
      </c>
      <c r="G25" s="10">
        <f>C19*B12</f>
        <v>0.00001299124127</v>
      </c>
      <c r="H25" s="10">
        <f>$C$10*B12</f>
        <v>0.000002033280509</v>
      </c>
    </row>
    <row r="26">
      <c r="A26" s="2">
        <v>1.0</v>
      </c>
      <c r="B26" s="10">
        <f t="shared" ref="B26:B31" si="21">B15*$C$2</f>
        <v>0.007356044593</v>
      </c>
      <c r="C26" s="10">
        <f t="shared" ref="C26:C31" si="22">$C$5*B15</f>
        <v>0.01129888449</v>
      </c>
      <c r="D26" s="10">
        <f>$C$6*B15</f>
        <v>0.008677543292</v>
      </c>
      <c r="E26" s="10">
        <f>$C$7*B15</f>
        <v>0.004442902165</v>
      </c>
      <c r="F26" s="10">
        <f>$C$8*B15</f>
        <v>0.001706074432</v>
      </c>
      <c r="G26" s="10">
        <f>$C$9*B15</f>
        <v>0.0005241060654</v>
      </c>
      <c r="H26" s="10">
        <f>$C$10*B15</f>
        <v>0.0001341711527</v>
      </c>
    </row>
    <row r="27">
      <c r="A27" s="2">
        <v>2.0</v>
      </c>
      <c r="B27" s="10">
        <f t="shared" si="21"/>
        <v>0.01353683535</v>
      </c>
      <c r="C27" s="10">
        <f t="shared" si="22"/>
        <v>0.02079257909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0.01245546495</v>
      </c>
      <c r="C28" s="10">
        <f t="shared" si="22"/>
        <v>0.01913159417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0.00764031884</v>
      </c>
      <c r="C29" s="10">
        <f t="shared" si="22"/>
        <v>0.01173552974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0.003514991543</v>
      </c>
      <c r="C30" s="10">
        <f t="shared" si="22"/>
        <v>0.00539902701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0.001293680623</v>
      </c>
      <c r="C31" s="10">
        <f t="shared" si="22"/>
        <v>0.001987093437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hoffenheim</v>
      </c>
      <c r="J33" s="2" t="s">
        <v>17</v>
      </c>
      <c r="K33" s="7" t="str">
        <f>B13</f>
        <v>dortmund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0.00002399419454</v>
      </c>
      <c r="C36" s="10">
        <f t="shared" ref="C36:C41" si="24">$C$5*B25</f>
        <v>0.00003685508281</v>
      </c>
      <c r="D36" s="10">
        <f>$C$6*B25</f>
        <v>0.0000283047036</v>
      </c>
      <c r="E36" s="10">
        <f>$C$7*B25</f>
        <v>0.00001449200824</v>
      </c>
      <c r="F36" s="10">
        <f>$C$8*B25</f>
        <v>0.000005564931165</v>
      </c>
      <c r="G36" s="10">
        <f>$C$9*B25</f>
        <v>0.000001709546854</v>
      </c>
      <c r="H36" s="10">
        <f>$C$10*B25</f>
        <v>0.0000004376439946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0.001583317563</v>
      </c>
      <c r="C37" s="10">
        <f t="shared" si="24"/>
        <v>0.002431975776</v>
      </c>
      <c r="D37" s="7">
        <f t="shared" ref="D37:H37" si="25">D27*D17</f>
        <v>0.01137725399</v>
      </c>
      <c r="E37" s="7">
        <f t="shared" si="25"/>
        <v>0.003495092426</v>
      </c>
      <c r="F37" s="7">
        <f t="shared" si="25"/>
        <v>0.0008947436612</v>
      </c>
      <c r="G37" s="7">
        <f t="shared" si="25"/>
        <v>0.0001963323234</v>
      </c>
      <c r="H37" s="7">
        <f t="shared" si="25"/>
        <v>0.00003769580609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0.01137725399</v>
      </c>
      <c r="N37" s="7">
        <f>E27*D18</f>
        <v>0.004187359445</v>
      </c>
      <c r="O37" s="7">
        <f>F27*D19</f>
        <v>0.001284286109</v>
      </c>
      <c r="P37" s="7">
        <f>G27*D20</f>
        <v>0.0003376265092</v>
      </c>
      <c r="Q37" s="7">
        <f>H27*D21</f>
        <v>0.00007766392671</v>
      </c>
    </row>
    <row r="38">
      <c r="A38" s="2">
        <v>3.0</v>
      </c>
      <c r="B38" s="10">
        <f t="shared" si="23"/>
        <v>0.002913673086</v>
      </c>
      <c r="C38" s="10">
        <f t="shared" si="24"/>
        <v>0.00447540186</v>
      </c>
      <c r="D38" s="10"/>
      <c r="E38" s="7">
        <f t="shared" ref="E38:H38" si="28">E28*E18</f>
        <v>0.006431784107</v>
      </c>
      <c r="F38" s="7">
        <f t="shared" si="28"/>
        <v>0.001646536731</v>
      </c>
      <c r="G38" s="7">
        <f t="shared" si="28"/>
        <v>0.0003612972028</v>
      </c>
      <c r="H38" s="7">
        <f t="shared" si="28"/>
        <v>0.00006936906293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0.006431784107</v>
      </c>
      <c r="O38" s="7">
        <f>F28*E19</f>
        <v>0.001972663464</v>
      </c>
      <c r="P38" s="7">
        <f>G28*E20</f>
        <v>0.0005185943182</v>
      </c>
      <c r="Q38" s="7">
        <f>H28*E21</f>
        <v>0.0001192917914</v>
      </c>
    </row>
    <row r="39">
      <c r="A39" s="2">
        <v>4.0</v>
      </c>
      <c r="B39" s="10">
        <f t="shared" si="23"/>
        <v>0.002680918551</v>
      </c>
      <c r="C39" s="10">
        <f t="shared" si="24"/>
        <v>0.004117890894</v>
      </c>
      <c r="D39" s="10"/>
      <c r="E39" s="10"/>
      <c r="F39" s="7">
        <f t="shared" ref="F39:H39" si="29">F29*F19</f>
        <v>0.00151500554</v>
      </c>
      <c r="G39" s="7">
        <f t="shared" si="29"/>
        <v>0.0003324355014</v>
      </c>
      <c r="H39" s="7">
        <f t="shared" si="29"/>
        <v>0.00006382761628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0.00151500554</v>
      </c>
      <c r="P39" s="7">
        <f>G29*F20</f>
        <v>0.0003982804364</v>
      </c>
      <c r="Q39" s="7">
        <f>H29*F21</f>
        <v>0.00009161609581</v>
      </c>
    </row>
    <row r="40">
      <c r="A40" s="2">
        <v>5.0</v>
      </c>
      <c r="B40" s="10">
        <f t="shared" si="23"/>
        <v>0.001644504849</v>
      </c>
      <c r="C40" s="10">
        <f t="shared" si="24"/>
        <v>0.002525959448</v>
      </c>
      <c r="D40" s="10"/>
      <c r="E40" s="10"/>
      <c r="F40" s="10"/>
      <c r="G40" s="7">
        <f t="shared" ref="G40:H40" si="30">G30*G20</f>
        <v>0.0002039195834</v>
      </c>
      <c r="H40" s="7">
        <f t="shared" si="30"/>
        <v>0.00003915256002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0.0002039195834</v>
      </c>
      <c r="Q40" s="7">
        <f>H30*G21</f>
        <v>0.00004690744106</v>
      </c>
    </row>
    <row r="41">
      <c r="A41" s="2">
        <v>6.0</v>
      </c>
      <c r="B41" s="10">
        <f t="shared" si="23"/>
        <v>0.000756567986</v>
      </c>
      <c r="C41" s="10">
        <f t="shared" si="24"/>
        <v>0.001162088426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40</v>
      </c>
      <c r="C1" s="1" t="s">
        <v>41</v>
      </c>
      <c r="D1" s="2" t="s">
        <v>2</v>
      </c>
      <c r="G1" s="2" t="str">
        <f t="shared" ref="G1:H1" si="1">B1</f>
        <v>monaco</v>
      </c>
      <c r="H1" s="2" t="str">
        <f t="shared" si="1"/>
        <v>auxerre</v>
      </c>
      <c r="J1" s="3" t="str">
        <f>G1</f>
        <v>monaco</v>
      </c>
      <c r="K1" s="3" t="s">
        <v>3</v>
      </c>
      <c r="L1" s="3" t="s">
        <v>4</v>
      </c>
      <c r="M1" s="3" t="s">
        <v>5</v>
      </c>
      <c r="N1" s="3" t="str">
        <f>H1</f>
        <v>auxerre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0.12528708926986687</v>
      </c>
      <c r="C2" s="1">
        <v>0.3775697345757777</v>
      </c>
      <c r="D2" s="2" t="s">
        <v>7</v>
      </c>
      <c r="E2" s="1">
        <v>2.5</v>
      </c>
      <c r="F2" s="2" t="s">
        <v>8</v>
      </c>
      <c r="G2" s="1">
        <v>1.645</v>
      </c>
      <c r="H2" s="1">
        <v>6.15</v>
      </c>
      <c r="J2" s="3"/>
      <c r="K2" s="4"/>
      <c r="L2" s="5">
        <v>2.4</v>
      </c>
      <c r="M2" s="6">
        <f t="shared" ref="M2:M11" si="3">IFERROR(-ln(1-(1/L2)),0)</f>
        <v>0.5389965007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2.077147461</v>
      </c>
      <c r="C3" s="7">
        <f t="shared" si="2"/>
        <v>0.974</v>
      </c>
      <c r="D3" s="2" t="s">
        <v>9</v>
      </c>
      <c r="E3" s="1">
        <v>1.7</v>
      </c>
      <c r="F3" s="2" t="s">
        <v>10</v>
      </c>
      <c r="G3" s="8">
        <f>1/(1/G2+SUM(D37:H40))</f>
        <v>1.606659015</v>
      </c>
      <c r="H3" s="8">
        <f>1/(1/H2+SUM(M37:Q40))</f>
        <v>5.517105451</v>
      </c>
      <c r="J3" s="3"/>
      <c r="K3" s="4"/>
      <c r="L3" s="5">
        <v>3.75</v>
      </c>
      <c r="M3" s="6">
        <f t="shared" si="3"/>
        <v>0.3101549283</v>
      </c>
      <c r="N3" s="3"/>
      <c r="O3" s="4"/>
      <c r="P3" s="5">
        <v>2.4</v>
      </c>
      <c r="Q3" s="6">
        <f t="shared" si="4"/>
        <v>0.5389965007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2.75</v>
      </c>
      <c r="Q4" s="6">
        <f t="shared" si="4"/>
        <v>0.4519851237</v>
      </c>
    </row>
    <row r="5">
      <c r="A5" s="2">
        <v>1.0</v>
      </c>
      <c r="B5" s="7">
        <f t="shared" ref="B5:C5" si="5">((B$3^$A5)/FACT($A5))*EXP(-B$3)</f>
        <v>0.2602397594</v>
      </c>
      <c r="C5" s="7">
        <f t="shared" si="5"/>
        <v>0.3677529215</v>
      </c>
      <c r="D5" s="2">
        <v>1.5</v>
      </c>
      <c r="E5" s="7">
        <f>1/(B2*(C2+C5)+B5*C2)</f>
        <v>5.218172768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0.2702781777</v>
      </c>
      <c r="C6" s="7">
        <f t="shared" si="6"/>
        <v>0.1790956728</v>
      </c>
      <c r="D6" s="2">
        <v>2.5</v>
      </c>
      <c r="E6" s="7">
        <f>1/(B2*(C2+C5+C6)+B5*(C2+C5)+B6*C2)</f>
        <v>2.428191516</v>
      </c>
      <c r="F6" s="2" t="s">
        <v>12</v>
      </c>
      <c r="J6" s="3"/>
      <c r="K6" s="4"/>
      <c r="L6" s="5">
        <v>3.5</v>
      </c>
      <c r="M6" s="6">
        <f t="shared" si="3"/>
        <v>0.3364722366</v>
      </c>
      <c r="N6" s="3"/>
      <c r="O6" s="4"/>
      <c r="P6" s="5">
        <v>11.0</v>
      </c>
      <c r="Q6" s="6">
        <f t="shared" si="4"/>
        <v>0.0953101798</v>
      </c>
    </row>
    <row r="7">
      <c r="A7" s="2">
        <v>3.0</v>
      </c>
      <c r="B7" s="7">
        <f t="shared" ref="B7:C7" si="7">((B$3^$A7)/FACT($A7))*EXP(-B$3)</f>
        <v>0.1871358769</v>
      </c>
      <c r="C7" s="7">
        <f t="shared" si="7"/>
        <v>0.05814639509</v>
      </c>
      <c r="D7" s="2">
        <v>3.5</v>
      </c>
      <c r="E7" s="7">
        <f>1/(B2*(C2+C5+C6+C7)+B5*(C2+C5+C6)+B6*(C2+C5)+B7*C2)</f>
        <v>1.572885046</v>
      </c>
      <c r="F7" s="7" t="str">
        <f>B1</f>
        <v>monaco</v>
      </c>
      <c r="G7" s="2" t="s">
        <v>13</v>
      </c>
      <c r="H7" s="7" t="str">
        <f>C1</f>
        <v>auxerre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0.09717720286</v>
      </c>
      <c r="C8" s="7">
        <f t="shared" si="8"/>
        <v>0.0141586472</v>
      </c>
      <c r="D8" s="2">
        <v>4.5</v>
      </c>
      <c r="E8" s="7">
        <f>1/(B2*(C2+C5+C6+C7+C8)+B5*(C2+C5+C6+C7)+B6*(C2+C5+C6)+B7*(C2+C5)+B8*C2)</f>
        <v>1.239776711</v>
      </c>
      <c r="F8" s="7">
        <f>B5*C2+B6*(C5+C2)+B7*(C6+C5+C2)+B8*(C7+C6+C5+C2)+B9*(C8+C7+C6+C5+C2)+B10*(C9+C8+C7+C6+C5+C2)+B11*(C10+C9+C8+C7+C6+C5+C2)+B12*(C11+C10+C9+C8+C7+C6+C5+C2)</f>
        <v>0.6276080146</v>
      </c>
      <c r="G8" s="7">
        <f>B2*C2+B5*C5+B6*C6+B7*C7+B8*C8+B9*C9+B10*C10+B11*C11+B12*C12</f>
        <v>0.2037892407</v>
      </c>
      <c r="H8" s="7">
        <f>C5*B2+C6*(B5+B2)+C7*(B6+B5+B2)+C8*(B7+B6+B5+B2)+C9*(B8+B7+B6+B5+B2)+C10*(B9+B8+B7+B6+B5+B2)+C11*(B10+B9+B7+B8+B6+B5+B2)</f>
        <v>0.1682823786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10.5</v>
      </c>
      <c r="Q8" s="6">
        <f t="shared" si="4"/>
        <v>0.1000834586</v>
      </c>
    </row>
    <row r="9">
      <c r="A9" s="2">
        <v>5.0</v>
      </c>
      <c r="B9" s="7">
        <f t="shared" ref="B9:C9" si="9">((B$3^$A9)/FACT($A9))*EXP(-B$3)</f>
        <v>0.04037027604</v>
      </c>
      <c r="C9" s="7">
        <f t="shared" si="9"/>
        <v>0.002758104475</v>
      </c>
      <c r="F9" s="9">
        <f t="shared" ref="F9:H9" si="10">1/F8</f>
        <v>1.593351227</v>
      </c>
      <c r="G9" s="9">
        <f t="shared" si="10"/>
        <v>4.907030404</v>
      </c>
      <c r="H9" s="9">
        <f t="shared" si="10"/>
        <v>5.94239283</v>
      </c>
      <c r="J9" s="3"/>
      <c r="K9" s="4"/>
      <c r="L9" s="5">
        <v>5.0</v>
      </c>
      <c r="M9" s="6">
        <f t="shared" si="3"/>
        <v>0.2231435513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0.01397583606</v>
      </c>
      <c r="C10" s="7">
        <f t="shared" si="11"/>
        <v>0.0004477322932</v>
      </c>
      <c r="J10" s="3"/>
      <c r="K10" s="4"/>
      <c r="L10" s="5">
        <v>12.0</v>
      </c>
      <c r="M10" s="6">
        <f t="shared" si="3"/>
        <v>0.08701137699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0.004147124627</v>
      </c>
      <c r="C11" s="7">
        <f t="shared" si="12"/>
        <v>0.00006229875051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12.5</v>
      </c>
      <c r="Q11" s="6">
        <f t="shared" si="4"/>
        <v>0.08338160894</v>
      </c>
    </row>
    <row r="12">
      <c r="A12" s="2">
        <v>8.0</v>
      </c>
      <c r="B12" s="7">
        <f t="shared" ref="B12:C12" si="13">((B$3^$A12)/FACT($A12))*EXP(-B$3)</f>
        <v>0.001076773674</v>
      </c>
      <c r="C12" s="7">
        <f t="shared" si="13"/>
        <v>0.000007584872874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auxerre</v>
      </c>
      <c r="J13" s="3"/>
      <c r="K13" s="3"/>
      <c r="L13" s="3" t="s">
        <v>14</v>
      </c>
      <c r="M13" s="6">
        <f>SUM(M2:M11)</f>
        <v>2.209128482</v>
      </c>
      <c r="N13" s="3"/>
      <c r="O13" s="3"/>
      <c r="P13" s="3" t="s">
        <v>14</v>
      </c>
      <c r="Q13" s="6">
        <f>SUM(Q2:Q11)</f>
        <v>2.1726337</v>
      </c>
    </row>
    <row r="14">
      <c r="A14" s="7" t="str">
        <f>B1</f>
        <v>monaco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1.829980682</v>
      </c>
      <c r="N14" s="3"/>
      <c r="O14" s="3"/>
      <c r="P14" s="3" t="s">
        <v>15</v>
      </c>
      <c r="Q14" s="6">
        <f>SUM(Q2:Q8)</f>
        <v>1.951266348</v>
      </c>
    </row>
    <row r="15">
      <c r="A15" s="2">
        <v>0.0</v>
      </c>
      <c r="B15" s="7">
        <f>B2*$C$2</f>
        <v>0.04730461304</v>
      </c>
      <c r="C15" s="7">
        <f>C5*B2</f>
        <v>0.0460746931</v>
      </c>
      <c r="D15" s="7">
        <f>C6*B2</f>
        <v>0.02243837554</v>
      </c>
      <c r="E15" s="7">
        <f>C7*B2</f>
        <v>0.007284992592</v>
      </c>
      <c r="F15" s="7">
        <f>C8*B2</f>
        <v>0.001773895696</v>
      </c>
      <c r="G15" s="7">
        <f>C9*B2</f>
        <v>0.0003455548816</v>
      </c>
      <c r="H15" s="7">
        <f>$C$10*B2</f>
        <v>0.00005609507578</v>
      </c>
    </row>
    <row r="16">
      <c r="A16" s="2">
        <v>1.0</v>
      </c>
      <c r="B16" s="7">
        <f t="shared" ref="B16:B21" si="14">B5*$C$2</f>
        <v>0.09825865687</v>
      </c>
      <c r="C16" s="7">
        <f t="shared" ref="C16:C21" si="15">$C$5*B5</f>
        <v>0.09570393179</v>
      </c>
      <c r="D16" s="7">
        <f t="shared" ref="D16:D21" si="16">$C$6*B5</f>
        <v>0.04660781478</v>
      </c>
      <c r="E16" s="7">
        <f t="shared" ref="E16:E21" si="17">$C$7*B5</f>
        <v>0.01513200387</v>
      </c>
      <c r="F16" s="7">
        <f t="shared" ref="F16:F21" si="18">$C$8*B5</f>
        <v>0.003684642941</v>
      </c>
      <c r="G16" s="7">
        <f t="shared" ref="G16:G21" si="19">$C$9*B5</f>
        <v>0.000717768445</v>
      </c>
      <c r="H16" s="7">
        <f t="shared" ref="H16:H21" si="20">$C$10*B5</f>
        <v>0.0001165177442</v>
      </c>
    </row>
    <row r="17">
      <c r="A17" s="2">
        <v>2.0</v>
      </c>
      <c r="B17" s="7">
        <f t="shared" si="14"/>
        <v>0.1020488598</v>
      </c>
      <c r="C17" s="7">
        <f t="shared" si="15"/>
        <v>0.09939558946</v>
      </c>
      <c r="D17" s="7">
        <f t="shared" si="16"/>
        <v>0.04840565207</v>
      </c>
      <c r="E17" s="7">
        <f t="shared" si="17"/>
        <v>0.0157157017</v>
      </c>
      <c r="F17" s="7">
        <f t="shared" si="18"/>
        <v>0.003826773365</v>
      </c>
      <c r="G17" s="7">
        <f t="shared" si="19"/>
        <v>0.0007454554515</v>
      </c>
      <c r="H17" s="7">
        <f t="shared" si="20"/>
        <v>0.0001210122683</v>
      </c>
    </row>
    <row r="18">
      <c r="A18" s="2">
        <v>3.0</v>
      </c>
      <c r="B18" s="7">
        <f t="shared" si="14"/>
        <v>0.07065684335</v>
      </c>
      <c r="C18" s="7">
        <f t="shared" si="15"/>
        <v>0.06881976543</v>
      </c>
      <c r="D18" s="7">
        <f t="shared" si="16"/>
        <v>0.03351522576</v>
      </c>
      <c r="E18" s="7">
        <f t="shared" si="17"/>
        <v>0.01088127663</v>
      </c>
      <c r="F18" s="7">
        <f t="shared" si="18"/>
        <v>0.00264959086</v>
      </c>
      <c r="G18" s="7">
        <f t="shared" si="19"/>
        <v>0.0005161402995</v>
      </c>
      <c r="H18" s="7">
        <f t="shared" si="20"/>
        <v>0.00008378677528</v>
      </c>
    </row>
    <row r="19">
      <c r="A19" s="2">
        <v>4.0</v>
      </c>
      <c r="B19" s="7">
        <f t="shared" si="14"/>
        <v>0.03669117069</v>
      </c>
      <c r="C19" s="7">
        <f t="shared" si="15"/>
        <v>0.03573720025</v>
      </c>
      <c r="D19" s="7">
        <f t="shared" si="16"/>
        <v>0.01740401652</v>
      </c>
      <c r="E19" s="7">
        <f t="shared" si="17"/>
        <v>0.005650504031</v>
      </c>
      <c r="F19" s="7">
        <f t="shared" si="18"/>
        <v>0.001375897732</v>
      </c>
      <c r="G19" s="7">
        <f t="shared" si="19"/>
        <v>0.0002680248781</v>
      </c>
      <c r="H19" s="7">
        <f t="shared" si="20"/>
        <v>0.00004350937188</v>
      </c>
    </row>
    <row r="20">
      <c r="A20" s="2">
        <v>5.0</v>
      </c>
      <c r="B20" s="7">
        <f t="shared" si="14"/>
        <v>0.01524259441</v>
      </c>
      <c r="C20" s="7">
        <f t="shared" si="15"/>
        <v>0.01484628695</v>
      </c>
      <c r="D20" s="7">
        <f t="shared" si="16"/>
        <v>0.007230141746</v>
      </c>
      <c r="E20" s="7">
        <f t="shared" si="17"/>
        <v>0.00234738602</v>
      </c>
      <c r="F20" s="7">
        <f t="shared" si="18"/>
        <v>0.000571588496</v>
      </c>
      <c r="G20" s="7">
        <f t="shared" si="19"/>
        <v>0.000111345439</v>
      </c>
      <c r="H20" s="7">
        <f t="shared" si="20"/>
        <v>0.00001807507627</v>
      </c>
    </row>
    <row r="21">
      <c r="A21" s="2">
        <v>6.0</v>
      </c>
      <c r="B21" s="7">
        <f t="shared" si="14"/>
        <v>0.005276852712</v>
      </c>
      <c r="C21" s="7">
        <f t="shared" si="15"/>
        <v>0.005139654542</v>
      </c>
      <c r="D21" s="7">
        <f t="shared" si="16"/>
        <v>0.002503011762</v>
      </c>
      <c r="E21" s="7">
        <f t="shared" si="17"/>
        <v>0.0008126444853</v>
      </c>
      <c r="F21" s="7">
        <f t="shared" si="18"/>
        <v>0.0001978789322</v>
      </c>
      <c r="G21" s="7">
        <f t="shared" si="19"/>
        <v>0.00003854681599</v>
      </c>
      <c r="H21" s="7">
        <f t="shared" si="20"/>
        <v>0.000006257433129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0.0004065571502</v>
      </c>
      <c r="C25" s="10">
        <f>C15*B12</f>
        <v>0.00004961201656</v>
      </c>
      <c r="D25" s="10">
        <f>C16*B12</f>
        <v>0.0001030514742</v>
      </c>
      <c r="E25" s="10">
        <f>C17*B12</f>
        <v>0.000107026554</v>
      </c>
      <c r="F25" s="10">
        <f>C18*B12</f>
        <v>0.00007410331164</v>
      </c>
      <c r="G25" s="10">
        <f>C19*B12</f>
        <v>0.0000384808764</v>
      </c>
      <c r="H25" s="10">
        <f>$C$10*B12</f>
        <v>0.0000004821063461</v>
      </c>
    </row>
    <row r="26">
      <c r="A26" s="2">
        <v>1.0</v>
      </c>
      <c r="B26" s="10">
        <f t="shared" ref="B26:B31" si="21">B15*$C$2</f>
        <v>0.01786079019</v>
      </c>
      <c r="C26" s="10">
        <f t="shared" ref="C26:C31" si="22">$C$5*B15</f>
        <v>0.01739640965</v>
      </c>
      <c r="D26" s="10">
        <f>$C$6*B15</f>
        <v>0.008472051497</v>
      </c>
      <c r="E26" s="10">
        <f>$C$7*B15</f>
        <v>0.002750592719</v>
      </c>
      <c r="F26" s="10">
        <f>$C$8*B15</f>
        <v>0.0006697693272</v>
      </c>
      <c r="G26" s="10">
        <f>$C$9*B15</f>
        <v>0.0001304710649</v>
      </c>
      <c r="H26" s="10">
        <f>$C$10*B15</f>
        <v>0.00002117980287</v>
      </c>
    </row>
    <row r="27">
      <c r="A27" s="2">
        <v>2.0</v>
      </c>
      <c r="B27" s="10">
        <f t="shared" si="21"/>
        <v>0.03709949499</v>
      </c>
      <c r="C27" s="10">
        <f t="shared" si="22"/>
        <v>0.03613490812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0.03853056091</v>
      </c>
      <c r="C28" s="10">
        <f t="shared" si="22"/>
        <v>0.03752876633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0.02667788559</v>
      </c>
      <c r="C29" s="10">
        <f t="shared" si="22"/>
        <v>0.02598426057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0.01385347558</v>
      </c>
      <c r="C30" s="10">
        <f t="shared" si="22"/>
        <v>0.01349328521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0.005755142325</v>
      </c>
      <c r="C31" s="10">
        <f t="shared" si="22"/>
        <v>0.005605508625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monaco</v>
      </c>
      <c r="J33" s="2" t="s">
        <v>17</v>
      </c>
      <c r="K33" s="7" t="str">
        <f>B13</f>
        <v>auxerre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0.0001535036753</v>
      </c>
      <c r="C36" s="10">
        <f t="shared" ref="C36:C41" si="24">$C$5*B25</f>
        <v>0.0001495125797</v>
      </c>
      <c r="D36" s="10">
        <f>$C$6*B25</f>
        <v>0.00007281262632</v>
      </c>
      <c r="E36" s="10">
        <f>$C$7*B25</f>
        <v>0.00002363983268</v>
      </c>
      <c r="F36" s="10">
        <f>$C$8*B25</f>
        <v>0.000005756299258</v>
      </c>
      <c r="G36" s="10">
        <f>$C$9*B25</f>
        <v>0.000001121327095</v>
      </c>
      <c r="H36" s="10">
        <f>$C$10*B25</f>
        <v>0.0000001820287651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0.006743693811</v>
      </c>
      <c r="C37" s="10">
        <f t="shared" si="24"/>
        <v>0.006568357772</v>
      </c>
      <c r="D37" s="7">
        <f t="shared" ref="D37:H37" si="25">D27*D17</f>
        <v>0.008067608678</v>
      </c>
      <c r="E37" s="7">
        <f t="shared" si="25"/>
        <v>0.00157157017</v>
      </c>
      <c r="F37" s="7">
        <f t="shared" si="25"/>
        <v>0.0002551182243</v>
      </c>
      <c r="G37" s="7">
        <f t="shared" si="25"/>
        <v>0.00003549787864</v>
      </c>
      <c r="H37" s="7">
        <f t="shared" si="25"/>
        <v>0.000004321866725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0.008067608678</v>
      </c>
      <c r="N37" s="7">
        <f>E27*D18</f>
        <v>0.003351522576</v>
      </c>
      <c r="O37" s="7">
        <f>F27*D19</f>
        <v>0.001160267768</v>
      </c>
      <c r="P37" s="7">
        <f>G27*D20</f>
        <v>0.0003442924641</v>
      </c>
      <c r="Q37" s="7">
        <f>H27*D21</f>
        <v>0.00008939327721</v>
      </c>
    </row>
    <row r="38">
      <c r="A38" s="2">
        <v>3.0</v>
      </c>
      <c r="B38" s="10">
        <f t="shared" si="23"/>
        <v>0.01400764648</v>
      </c>
      <c r="C38" s="10">
        <f t="shared" si="24"/>
        <v>0.01364344767</v>
      </c>
      <c r="D38" s="10"/>
      <c r="E38" s="7">
        <f t="shared" ref="E38:H38" si="28">E28*E18</f>
        <v>0.003264382989</v>
      </c>
      <c r="F38" s="7">
        <f t="shared" si="28"/>
        <v>0.0005299181719</v>
      </c>
      <c r="G38" s="7">
        <f t="shared" si="28"/>
        <v>0.00007373432849</v>
      </c>
      <c r="H38" s="7">
        <f t="shared" si="28"/>
        <v>0.000008977154494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0.003264382989</v>
      </c>
      <c r="O38" s="7">
        <f>F28*E19</f>
        <v>0.001130100806</v>
      </c>
      <c r="P38" s="7">
        <f>G28*E20</f>
        <v>0.0003353408601</v>
      </c>
      <c r="Q38" s="7">
        <f>H28*E21</f>
        <v>0.000087069052</v>
      </c>
    </row>
    <row r="39">
      <c r="A39" s="2">
        <v>4.0</v>
      </c>
      <c r="B39" s="10">
        <f t="shared" si="23"/>
        <v>0.01454797366</v>
      </c>
      <c r="C39" s="10">
        <f t="shared" si="24"/>
        <v>0.01416972634</v>
      </c>
      <c r="D39" s="10"/>
      <c r="E39" s="10"/>
      <c r="F39" s="7">
        <f t="shared" ref="F39:H39" si="29">F29*F19</f>
        <v>0.0005503590927</v>
      </c>
      <c r="G39" s="7">
        <f t="shared" si="29"/>
        <v>0.00007657853661</v>
      </c>
      <c r="H39" s="7">
        <f t="shared" si="29"/>
        <v>0.000009323436832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0.0005503590927</v>
      </c>
      <c r="P39" s="7">
        <f>G29*F20</f>
        <v>0.0001633109988</v>
      </c>
      <c r="Q39" s="7">
        <f>H29*F21</f>
        <v>0.00004240262832</v>
      </c>
    </row>
    <row r="40">
      <c r="A40" s="2">
        <v>5.0</v>
      </c>
      <c r="B40" s="10">
        <f t="shared" si="23"/>
        <v>0.01007276218</v>
      </c>
      <c r="C40" s="10">
        <f t="shared" si="24"/>
        <v>0.009810870365</v>
      </c>
      <c r="D40" s="10"/>
      <c r="E40" s="10"/>
      <c r="F40" s="10"/>
      <c r="G40" s="7">
        <f t="shared" ref="G40:H40" si="30">G30*G20</f>
        <v>0.00005302163762</v>
      </c>
      <c r="H40" s="7">
        <f t="shared" si="30"/>
        <v>0.000006455384381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0.00005302163762</v>
      </c>
      <c r="Q40" s="7">
        <f>H30*G21</f>
        <v>0.00001376672</v>
      </c>
    </row>
    <row r="41">
      <c r="A41" s="2">
        <v>6.0</v>
      </c>
      <c r="B41" s="10">
        <f t="shared" si="23"/>
        <v>0.005230653097</v>
      </c>
      <c r="C41" s="10">
        <f t="shared" si="24"/>
        <v>0.005094656117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42</v>
      </c>
      <c r="C1" s="1" t="s">
        <v>43</v>
      </c>
      <c r="D1" s="2" t="s">
        <v>2</v>
      </c>
      <c r="G1" s="2" t="str">
        <f t="shared" ref="G1:H1" si="1">B1</f>
        <v>hellas verone</v>
      </c>
      <c r="H1" s="2" t="str">
        <f t="shared" si="1"/>
        <v>milan</v>
      </c>
      <c r="J1" s="3" t="str">
        <f>G1</f>
        <v>hellas verone</v>
      </c>
      <c r="K1" s="3" t="s">
        <v>3</v>
      </c>
      <c r="L1" s="3" t="s">
        <v>4</v>
      </c>
      <c r="M1" s="3" t="s">
        <v>5</v>
      </c>
      <c r="N1" s="3" t="str">
        <f>H1</f>
        <v>milan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0.48947548575586847</v>
      </c>
      <c r="C2" s="1">
        <v>0.15076996716098715</v>
      </c>
      <c r="D2" s="2" t="s">
        <v>7</v>
      </c>
      <c r="E2" s="1">
        <v>2.5</v>
      </c>
      <c r="F2" s="2" t="s">
        <v>8</v>
      </c>
      <c r="G2" s="1">
        <v>7.71</v>
      </c>
      <c r="H2" s="1">
        <v>1.578</v>
      </c>
      <c r="J2" s="3"/>
      <c r="K2" s="4"/>
      <c r="L2" s="5">
        <v>4.5</v>
      </c>
      <c r="M2" s="6">
        <f t="shared" ref="M2:M11" si="3">IFERROR(-ln(1-(1/L2)),0)</f>
        <v>0.2513144283</v>
      </c>
      <c r="N2" s="3"/>
      <c r="O2" s="4"/>
      <c r="P2" s="5">
        <v>1.95</v>
      </c>
      <c r="Q2" s="6">
        <f t="shared" ref="Q2:Q11" si="4">IFERROR(-ln(1-(1/P2)),0)</f>
        <v>0.719122667</v>
      </c>
    </row>
    <row r="3">
      <c r="A3" s="2" t="s">
        <v>5</v>
      </c>
      <c r="B3" s="7">
        <f t="shared" ref="B3:C3" si="2">-ln(B2)</f>
        <v>0.7144208984</v>
      </c>
      <c r="C3" s="7">
        <f t="shared" si="2"/>
        <v>1.892</v>
      </c>
      <c r="D3" s="2" t="s">
        <v>9</v>
      </c>
      <c r="E3" s="1">
        <v>2.07</v>
      </c>
      <c r="F3" s="2" t="s">
        <v>10</v>
      </c>
      <c r="G3" s="8">
        <f>1/(1/G2+SUM(D37:H40))</f>
        <v>7.105320912</v>
      </c>
      <c r="H3" s="8">
        <f>1/(1/H2+SUM(M37:Q40))</f>
        <v>1.55723863</v>
      </c>
      <c r="J3" s="3"/>
      <c r="K3" s="4"/>
      <c r="L3" s="5">
        <v>4.5</v>
      </c>
      <c r="M3" s="6">
        <f t="shared" si="3"/>
        <v>0.2513144283</v>
      </c>
      <c r="N3" s="3"/>
      <c r="O3" s="4"/>
      <c r="P3" s="5">
        <v>2.5</v>
      </c>
      <c r="Q3" s="6">
        <f t="shared" si="4"/>
        <v>0.5108256238</v>
      </c>
    </row>
    <row r="4">
      <c r="A4" s="2" t="s">
        <v>11</v>
      </c>
      <c r="J4" s="3"/>
      <c r="K4" s="4"/>
      <c r="L4" s="5">
        <v>5.5</v>
      </c>
      <c r="M4" s="6">
        <f t="shared" si="3"/>
        <v>0.2006706955</v>
      </c>
      <c r="N4" s="3"/>
      <c r="O4" s="4"/>
      <c r="P4" s="5">
        <v>2.5</v>
      </c>
      <c r="Q4" s="6">
        <f t="shared" si="4"/>
        <v>0.5108256238</v>
      </c>
    </row>
    <row r="5">
      <c r="A5" s="2">
        <v>1.0</v>
      </c>
      <c r="B5" s="7">
        <f t="shared" ref="B5:C5" si="5">((B$3^$A5)/FACT($A5))*EXP(-B$3)</f>
        <v>0.3496915163</v>
      </c>
      <c r="C5" s="7">
        <f t="shared" si="5"/>
        <v>0.2852567779</v>
      </c>
      <c r="D5" s="2">
        <v>1.5</v>
      </c>
      <c r="E5" s="7">
        <f>1/(B2*(C2+C5)+B5*C2)</f>
        <v>3.757316699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3.8</v>
      </c>
      <c r="Q5" s="6">
        <f t="shared" si="4"/>
        <v>0.3053816496</v>
      </c>
    </row>
    <row r="6">
      <c r="A6" s="2">
        <v>2.0</v>
      </c>
      <c r="B6" s="7">
        <f t="shared" ref="B6:C6" si="6">((B$3^$A6)/FACT($A6))*EXP(-B$3)</f>
        <v>0.1249134636</v>
      </c>
      <c r="C6" s="7">
        <f t="shared" si="6"/>
        <v>0.2698529119</v>
      </c>
      <c r="D6" s="2">
        <v>2.5</v>
      </c>
      <c r="E6" s="7">
        <f>1/(B2*(C2+C5+C6)+B5*(C2+C5)+B6*C2)</f>
        <v>1.934913981</v>
      </c>
      <c r="F6" s="2" t="s">
        <v>12</v>
      </c>
      <c r="J6" s="3"/>
      <c r="K6" s="4"/>
      <c r="L6" s="5">
        <v>10.0</v>
      </c>
      <c r="M6" s="6">
        <f t="shared" si="3"/>
        <v>0.1053605157</v>
      </c>
      <c r="N6" s="3"/>
      <c r="O6" s="4"/>
      <c r="P6" s="5">
        <v>8.0</v>
      </c>
      <c r="Q6" s="6">
        <f t="shared" si="4"/>
        <v>0.1335313926</v>
      </c>
    </row>
    <row r="7">
      <c r="A7" s="2">
        <v>3.0</v>
      </c>
      <c r="B7" s="7">
        <f t="shared" ref="B7:C7" si="7">((B$3^$A7)/FACT($A7))*EXP(-B$3)</f>
        <v>0.02974692964</v>
      </c>
      <c r="C7" s="7">
        <f t="shared" si="7"/>
        <v>0.1701872364</v>
      </c>
      <c r="D7" s="2">
        <v>3.5</v>
      </c>
      <c r="E7" s="7">
        <f>1/(B2*(C2+C5+C6+C7)+B5*(C2+C5+C6)+B6*(C2+C5)+B7*C2)</f>
        <v>1.361277733</v>
      </c>
      <c r="F7" s="7" t="str">
        <f>B1</f>
        <v>hellas verone</v>
      </c>
      <c r="G7" s="2" t="s">
        <v>13</v>
      </c>
      <c r="H7" s="7" t="str">
        <f>C1</f>
        <v>milan</v>
      </c>
      <c r="J7" s="3"/>
      <c r="K7" s="4"/>
      <c r="L7" s="5">
        <v>15.0</v>
      </c>
      <c r="M7" s="6">
        <f t="shared" si="3"/>
        <v>0.06899287149</v>
      </c>
      <c r="N7" s="3"/>
      <c r="O7" s="4"/>
      <c r="P7" s="5">
        <v>8.0</v>
      </c>
      <c r="Q7" s="6">
        <f t="shared" si="4"/>
        <v>0.1335313926</v>
      </c>
    </row>
    <row r="8">
      <c r="A8" s="2">
        <v>4.0</v>
      </c>
      <c r="B8" s="7">
        <f t="shared" ref="B8:C8" si="8">((B$3^$A8)/FACT($A8))*EXP(-B$3)</f>
        <v>0.005312957049</v>
      </c>
      <c r="C8" s="7">
        <f t="shared" si="8"/>
        <v>0.08049856282</v>
      </c>
      <c r="D8" s="2">
        <v>4.5</v>
      </c>
      <c r="E8" s="7">
        <f>1/(B2*(C2+C5+C6+C7+C8)+B5*(C2+C5+C6+C7)+B6*(C2+C5+C6)+B7*(C2+C5)+B8*C2)</f>
        <v>1.140883264</v>
      </c>
      <c r="F8" s="7">
        <f>B5*C2+B6*(C5+C2)+B7*(C6+C5+C2)+B8*(C7+C6+C5+C2)+B9*(C8+C7+C6+C5+C2)+B10*(C9+C8+C7+C6+C5+C2)+B11*(C10+C9+C8+C7+C6+C5+C2)+B12*(C11+C10+C9+C8+C7+C6+C5+C2)</f>
        <v>0.1336662477</v>
      </c>
      <c r="G8" s="7">
        <f>B2*C2+B5*C5+B6*C6+B7*C7+B8*C8+B9*C9+B10*C10+B11*C11+B12*C12</f>
        <v>0.2127725897</v>
      </c>
      <c r="H8" s="7">
        <f>C5*B2+C6*(B5+B2)+C7*(B6+B5+B2)+C8*(B7+B6+B5+B2)+C9*(B8+B7+B6+B5+B2)+C10*(B9+B8+B7+B6+B5+B2)+C11*(B10+B9+B7+B8+B6+B5+B2)</f>
        <v>0.65278863</v>
      </c>
      <c r="J8" s="3"/>
      <c r="K8" s="4"/>
      <c r="L8" s="5">
        <v>15.0</v>
      </c>
      <c r="M8" s="6">
        <f t="shared" si="3"/>
        <v>0.06899287149</v>
      </c>
      <c r="N8" s="3"/>
      <c r="O8" s="4"/>
      <c r="P8" s="5">
        <v>9.0</v>
      </c>
      <c r="Q8" s="6">
        <f t="shared" si="4"/>
        <v>0.1177830357</v>
      </c>
    </row>
    <row r="9">
      <c r="A9" s="2">
        <v>5.0</v>
      </c>
      <c r="B9" s="7">
        <f t="shared" ref="B9:C9" si="9">((B$3^$A9)/FACT($A9))*EXP(-B$3)</f>
        <v>0.0007591375097</v>
      </c>
      <c r="C9" s="7">
        <f t="shared" si="9"/>
        <v>0.03046065617</v>
      </c>
      <c r="F9" s="9">
        <f t="shared" ref="F9:H9" si="10">1/F8</f>
        <v>7.481320209</v>
      </c>
      <c r="G9" s="9">
        <f t="shared" si="10"/>
        <v>4.699853499</v>
      </c>
      <c r="H9" s="9">
        <f t="shared" si="10"/>
        <v>1.531889426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7.0</v>
      </c>
      <c r="Q9" s="6">
        <f t="shared" si="4"/>
        <v>0.1541506798</v>
      </c>
    </row>
    <row r="10">
      <c r="A10" s="2">
        <v>6.0</v>
      </c>
      <c r="B10" s="7">
        <f t="shared" ref="B10:C10" si="11">((B$3^$A10)/FACT($A10))*EXP(-B$3)</f>
        <v>0.00009039061695</v>
      </c>
      <c r="C10" s="7">
        <f t="shared" si="11"/>
        <v>0.009605260246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10.0</v>
      </c>
      <c r="Q10" s="6">
        <f t="shared" si="4"/>
        <v>0.1053605157</v>
      </c>
    </row>
    <row r="11">
      <c r="A11" s="2">
        <v>7.0</v>
      </c>
      <c r="B11" s="7">
        <f t="shared" ref="B11:C11" si="12">((B$3^$A11)/FACT($A11))*EXP(-B$3)</f>
        <v>0.000009225277968</v>
      </c>
      <c r="C11" s="7">
        <f t="shared" si="12"/>
        <v>0.002596164627</v>
      </c>
      <c r="J11" s="3"/>
      <c r="K11" s="4"/>
      <c r="L11" s="5">
        <v>12.0</v>
      </c>
      <c r="M11" s="6">
        <f t="shared" si="3"/>
        <v>0.08701137699</v>
      </c>
      <c r="N11" s="3"/>
      <c r="O11" s="4"/>
      <c r="P11" s="5">
        <v>12.0</v>
      </c>
      <c r="Q11" s="6">
        <f t="shared" si="4"/>
        <v>0.08701137699</v>
      </c>
    </row>
    <row r="12">
      <c r="A12" s="2">
        <v>8.0</v>
      </c>
      <c r="B12" s="7">
        <f t="shared" ref="B12:C12" si="13">((B$3^$A12)/FACT($A12))*EXP(-B$3)</f>
        <v>0.0000008238414217</v>
      </c>
      <c r="C12" s="7">
        <f t="shared" si="13"/>
        <v>0.0006139929342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milan</v>
      </c>
      <c r="J13" s="3"/>
      <c r="K13" s="3"/>
      <c r="L13" s="3" t="s">
        <v>14</v>
      </c>
      <c r="M13" s="6">
        <f>SUM(M2:M11)</f>
        <v>1.305174323</v>
      </c>
      <c r="N13" s="3"/>
      <c r="O13" s="3"/>
      <c r="P13" s="3" t="s">
        <v>14</v>
      </c>
      <c r="Q13" s="6">
        <f>SUM(Q2:Q11)</f>
        <v>2.777523957</v>
      </c>
    </row>
    <row r="14">
      <c r="A14" s="7" t="str">
        <f>B1</f>
        <v>hellas verone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1.080177203</v>
      </c>
      <c r="N14" s="3"/>
      <c r="O14" s="3"/>
      <c r="P14" s="3" t="s">
        <v>15</v>
      </c>
      <c r="Q14" s="6">
        <f>SUM(Q2:Q8)</f>
        <v>2.431001385</v>
      </c>
    </row>
    <row r="15">
      <c r="A15" s="2">
        <v>0.0</v>
      </c>
      <c r="B15" s="7">
        <f>B2*$C$2</f>
        <v>0.07379820291</v>
      </c>
      <c r="C15" s="7">
        <f>C5*B2</f>
        <v>0.1396261999</v>
      </c>
      <c r="D15" s="7">
        <f>C6*B2</f>
        <v>0.1320863851</v>
      </c>
      <c r="E15" s="7">
        <f>C7*B2</f>
        <v>0.08330248021</v>
      </c>
      <c r="F15" s="7">
        <f>C8*B2</f>
        <v>0.03940207314</v>
      </c>
      <c r="G15" s="7">
        <f>C9*B2</f>
        <v>0.01490974448</v>
      </c>
      <c r="H15" s="7">
        <f>$C$10*B2</f>
        <v>0.004701539425</v>
      </c>
    </row>
    <row r="16">
      <c r="A16" s="2">
        <v>1.0</v>
      </c>
      <c r="B16" s="7">
        <f t="shared" ref="B16:B21" si="14">B5*$C$2</f>
        <v>0.05272297843</v>
      </c>
      <c r="C16" s="7">
        <f t="shared" ref="C16:C21" si="15">$C$5*B5</f>
        <v>0.09975187519</v>
      </c>
      <c r="D16" s="7">
        <f t="shared" ref="D16:D21" si="16">$C$6*B5</f>
        <v>0.09436527393</v>
      </c>
      <c r="E16" s="7">
        <f t="shared" ref="E16:E21" si="17">$C$7*B5</f>
        <v>0.05951303276</v>
      </c>
      <c r="F16" s="7">
        <f t="shared" ref="F16:F21" si="18">$C$8*B5</f>
        <v>0.02814966449</v>
      </c>
      <c r="G16" s="7">
        <f t="shared" ref="G16:G21" si="19">$C$9*B5</f>
        <v>0.01065183304</v>
      </c>
      <c r="H16" s="7">
        <f t="shared" ref="H16:H21" si="20">$C$10*B5</f>
        <v>0.00335887802</v>
      </c>
    </row>
    <row r="17">
      <c r="A17" s="2">
        <v>2.0</v>
      </c>
      <c r="B17" s="7">
        <f t="shared" si="14"/>
        <v>0.01883319881</v>
      </c>
      <c r="C17" s="7">
        <f t="shared" si="15"/>
        <v>0.03563241215</v>
      </c>
      <c r="D17" s="7">
        <f t="shared" si="16"/>
        <v>0.03370826189</v>
      </c>
      <c r="E17" s="7">
        <f t="shared" si="17"/>
        <v>0.02125867717</v>
      </c>
      <c r="F17" s="7">
        <f t="shared" si="18"/>
        <v>0.0100553543</v>
      </c>
      <c r="G17" s="7">
        <f t="shared" si="19"/>
        <v>0.003804946067</v>
      </c>
      <c r="H17" s="7">
        <f t="shared" si="20"/>
        <v>0.001199826326</v>
      </c>
    </row>
    <row r="18">
      <c r="A18" s="2">
        <v>3.0</v>
      </c>
      <c r="B18" s="7">
        <f t="shared" si="14"/>
        <v>0.004484943604</v>
      </c>
      <c r="C18" s="7">
        <f t="shared" si="15"/>
        <v>0.0084855133</v>
      </c>
      <c r="D18" s="7">
        <f t="shared" si="16"/>
        <v>0.008027295581</v>
      </c>
      <c r="E18" s="7">
        <f t="shared" si="17"/>
        <v>0.005062547747</v>
      </c>
      <c r="F18" s="7">
        <f t="shared" si="18"/>
        <v>0.002394585084</v>
      </c>
      <c r="G18" s="7">
        <f t="shared" si="19"/>
        <v>0.0009061109959</v>
      </c>
      <c r="H18" s="7">
        <f t="shared" si="20"/>
        <v>0.0002857270007</v>
      </c>
    </row>
    <row r="19">
      <c r="A19" s="2">
        <v>4.0</v>
      </c>
      <c r="B19" s="7">
        <f t="shared" si="14"/>
        <v>0.0008010343598</v>
      </c>
      <c r="C19" s="7">
        <f t="shared" si="15"/>
        <v>0.001515557009</v>
      </c>
      <c r="D19" s="7">
        <f t="shared" si="16"/>
        <v>0.00143371693</v>
      </c>
      <c r="E19" s="7">
        <f t="shared" si="17"/>
        <v>0.0009041974774</v>
      </c>
      <c r="F19" s="7">
        <f t="shared" si="18"/>
        <v>0.0004276854068</v>
      </c>
      <c r="G19" s="7">
        <f t="shared" si="19"/>
        <v>0.0001618361579</v>
      </c>
      <c r="H19" s="7">
        <f t="shared" si="20"/>
        <v>0.00005103233514</v>
      </c>
    </row>
    <row r="20">
      <c r="A20" s="2">
        <v>5.0</v>
      </c>
      <c r="B20" s="7">
        <f t="shared" si="14"/>
        <v>0.0001144551374</v>
      </c>
      <c r="C20" s="7">
        <f t="shared" si="15"/>
        <v>0.00021654912</v>
      </c>
      <c r="D20" s="7">
        <f t="shared" si="16"/>
        <v>0.0002048554675</v>
      </c>
      <c r="E20" s="7">
        <f t="shared" si="17"/>
        <v>0.0001291955148</v>
      </c>
      <c r="F20" s="7">
        <f t="shared" si="18"/>
        <v>0.00006110947852</v>
      </c>
      <c r="G20" s="7">
        <f t="shared" si="19"/>
        <v>0.00002312382667</v>
      </c>
      <c r="H20" s="7">
        <f t="shared" si="20"/>
        <v>0.000007291713343</v>
      </c>
    </row>
    <row r="21">
      <c r="A21" s="2">
        <v>6.0</v>
      </c>
      <c r="B21" s="7">
        <f t="shared" si="14"/>
        <v>0.00001362819035</v>
      </c>
      <c r="C21" s="7">
        <f t="shared" si="15"/>
        <v>0.00002578453614</v>
      </c>
      <c r="D21" s="7">
        <f t="shared" si="16"/>
        <v>0.00002439217119</v>
      </c>
      <c r="E21" s="7">
        <f t="shared" si="17"/>
        <v>0.0000153833293</v>
      </c>
      <c r="F21" s="7">
        <f t="shared" si="18"/>
        <v>0.000007276314757</v>
      </c>
      <c r="G21" s="7">
        <f t="shared" si="19"/>
        <v>0.000002753357504</v>
      </c>
      <c r="H21" s="7">
        <f t="shared" si="20"/>
        <v>0.0000008682253997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0.0000001242105441</v>
      </c>
      <c r="C25" s="10">
        <f>C15*B12</f>
        <v>0.000000115029847</v>
      </c>
      <c r="D25" s="10">
        <f>C16*B12</f>
        <v>0.00000008217972667</v>
      </c>
      <c r="E25" s="10">
        <f>C17*B12</f>
        <v>0.00000002935545708</v>
      </c>
      <c r="F25" s="10">
        <f>C18*B12</f>
        <v>0.000000006990717341</v>
      </c>
      <c r="G25" s="10">
        <f>C19*B12</f>
        <v>0.000000001248578641</v>
      </c>
      <c r="H25" s="10">
        <f>$C$10*B12</f>
        <v>0.000000007913211258</v>
      </c>
    </row>
    <row r="26">
      <c r="A26" s="2">
        <v>1.0</v>
      </c>
      <c r="B26" s="10">
        <f t="shared" ref="B26:B31" si="21">B15*$C$2</f>
        <v>0.01112655263</v>
      </c>
      <c r="C26" s="10">
        <f t="shared" ref="C26:C31" si="22">$C$5*B15</f>
        <v>0.02105143758</v>
      </c>
      <c r="D26" s="10">
        <f>$C$6*B15</f>
        <v>0.01991465995</v>
      </c>
      <c r="E26" s="10">
        <f>$C$7*B15</f>
        <v>0.01255951221</v>
      </c>
      <c r="F26" s="10">
        <f>$C$8*B15</f>
        <v>0.005940649274</v>
      </c>
      <c r="G26" s="10">
        <f>$C$9*B15</f>
        <v>0.002247941685</v>
      </c>
      <c r="H26" s="10">
        <f>$C$10*B15</f>
        <v>0.0007088509447</v>
      </c>
    </row>
    <row r="27">
      <c r="A27" s="2">
        <v>2.0</v>
      </c>
      <c r="B27" s="10">
        <f t="shared" si="21"/>
        <v>0.007949041726</v>
      </c>
      <c r="C27" s="10">
        <f t="shared" si="22"/>
        <v>0.01503958695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0.002839480766</v>
      </c>
      <c r="C28" s="10">
        <f t="shared" si="22"/>
        <v>0.005372297609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0.0006761948</v>
      </c>
      <c r="C29" s="10">
        <f t="shared" si="22"/>
        <v>0.001279360562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0.0001207719241</v>
      </c>
      <c r="C30" s="10">
        <f t="shared" si="22"/>
        <v>0.0002285004804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0.00001725639731</v>
      </c>
      <c r="C31" s="10">
        <f t="shared" si="22"/>
        <v>0.00003264910371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hellas verone</v>
      </c>
      <c r="J33" s="2" t="s">
        <v>17</v>
      </c>
      <c r="K33" s="7" t="str">
        <f>B13</f>
        <v>milan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0.00000001872721966</v>
      </c>
      <c r="C36" s="10">
        <f t="shared" ref="C36:C41" si="24">$C$5*B25</f>
        <v>0.00000003543189959</v>
      </c>
      <c r="D36" s="10">
        <f>$C$6*B25</f>
        <v>0.00000003351857701</v>
      </c>
      <c r="E36" s="10">
        <f>$C$7*B25</f>
        <v>0.00000002113904923</v>
      </c>
      <c r="F36" s="10">
        <f>$C$8*B25</f>
        <v>0.000000009998770288</v>
      </c>
      <c r="G36" s="10">
        <f>$C$9*B25</f>
        <v>0.000000003783534677</v>
      </c>
      <c r="H36" s="10">
        <f>$C$10*B25</f>
        <v>0.000000001193074601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0.001677549975</v>
      </c>
      <c r="C37" s="10">
        <f t="shared" si="24"/>
        <v>0.003173924552</v>
      </c>
      <c r="D37" s="7">
        <f t="shared" ref="D37:H37" si="25">D27*D17</f>
        <v>0.005618043648</v>
      </c>
      <c r="E37" s="7">
        <f t="shared" si="25"/>
        <v>0.002125867717</v>
      </c>
      <c r="F37" s="7">
        <f t="shared" si="25"/>
        <v>0.0006703569533</v>
      </c>
      <c r="G37" s="7">
        <f t="shared" si="25"/>
        <v>0.0001811879079</v>
      </c>
      <c r="H37" s="7">
        <f t="shared" si="25"/>
        <v>0.00004285094023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0.005618043648</v>
      </c>
      <c r="N37" s="7">
        <f>E27*D18</f>
        <v>0.0008027295581</v>
      </c>
      <c r="O37" s="7">
        <f>F27*D19</f>
        <v>0.00009558112869</v>
      </c>
      <c r="P37" s="7">
        <f>G27*D20</f>
        <v>0.000009755022262</v>
      </c>
      <c r="Q37" s="7">
        <f>H27*D21</f>
        <v>0.0000008711489711</v>
      </c>
    </row>
    <row r="38">
      <c r="A38" s="2">
        <v>3.0</v>
      </c>
      <c r="B38" s="10">
        <f t="shared" si="23"/>
        <v>0.00119847676</v>
      </c>
      <c r="C38" s="10">
        <f t="shared" si="24"/>
        <v>0.00226751803</v>
      </c>
      <c r="D38" s="10"/>
      <c r="E38" s="7">
        <f t="shared" ref="E38:H38" si="28">E28*E18</f>
        <v>0.001518764324</v>
      </c>
      <c r="F38" s="7">
        <f t="shared" si="28"/>
        <v>0.0004789170168</v>
      </c>
      <c r="G38" s="7">
        <f t="shared" si="28"/>
        <v>0.000129444428</v>
      </c>
      <c r="H38" s="7">
        <f t="shared" si="28"/>
        <v>0.00003061360722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0.001518764324</v>
      </c>
      <c r="O38" s="7">
        <f>F28*E19</f>
        <v>0.0001808394955</v>
      </c>
      <c r="P38" s="7">
        <f>G28*E20</f>
        <v>0.00001845650212</v>
      </c>
      <c r="Q38" s="7">
        <f>H28*E21</f>
        <v>0.000001648213853</v>
      </c>
    </row>
    <row r="39">
      <c r="A39" s="2">
        <v>4.0</v>
      </c>
      <c r="B39" s="10">
        <f t="shared" si="23"/>
        <v>0.0004281084218</v>
      </c>
      <c r="C39" s="10">
        <f t="shared" si="24"/>
        <v>0.0008099811341</v>
      </c>
      <c r="D39" s="10"/>
      <c r="E39" s="10"/>
      <c r="F39" s="7">
        <f t="shared" ref="F39:H39" si="29">F29*F19</f>
        <v>0.0001710741627</v>
      </c>
      <c r="G39" s="7">
        <f t="shared" si="29"/>
        <v>0.00004623890227</v>
      </c>
      <c r="H39" s="7">
        <f t="shared" si="29"/>
        <v>0.00001093550039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0.0001710741627</v>
      </c>
      <c r="P39" s="7">
        <f>G29*F20</f>
        <v>0.000017459851</v>
      </c>
      <c r="Q39" s="7">
        <f>H29*F21</f>
        <v>0.000001559210305</v>
      </c>
    </row>
    <row r="40">
      <c r="A40" s="2">
        <v>5.0</v>
      </c>
      <c r="B40" s="10">
        <f t="shared" si="23"/>
        <v>0.0001019498678</v>
      </c>
      <c r="C40" s="10">
        <f t="shared" si="24"/>
        <v>0.0001928891498</v>
      </c>
      <c r="D40" s="10"/>
      <c r="E40" s="10"/>
      <c r="F40" s="10"/>
      <c r="G40" s="7">
        <f t="shared" ref="G40:H40" si="30">G30*G20</f>
        <v>0.00001101134603</v>
      </c>
      <c r="H40" s="7">
        <f t="shared" si="30"/>
        <v>0.000002604183337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0.00001101134603</v>
      </c>
      <c r="Q40" s="7">
        <f>H30*G21</f>
        <v>0.0000009833419658</v>
      </c>
    </row>
    <row r="41">
      <c r="A41" s="2">
        <v>6.0</v>
      </c>
      <c r="B41" s="10">
        <f t="shared" si="23"/>
        <v>0.00001820877903</v>
      </c>
      <c r="C41" s="10">
        <f t="shared" si="24"/>
        <v>0.00003445100993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44</v>
      </c>
      <c r="C1" s="1" t="s">
        <v>45</v>
      </c>
      <c r="D1" s="2" t="s">
        <v>2</v>
      </c>
      <c r="G1" s="2" t="str">
        <f t="shared" ref="G1:H1" si="1">B1</f>
        <v>everton</v>
      </c>
      <c r="H1" s="2" t="str">
        <f t="shared" si="1"/>
        <v>liverpool</v>
      </c>
      <c r="J1" s="3" t="str">
        <f>G1</f>
        <v>everton</v>
      </c>
      <c r="K1" s="3" t="s">
        <v>3</v>
      </c>
      <c r="L1" s="3" t="s">
        <v>4</v>
      </c>
      <c r="M1" s="3" t="s">
        <v>5</v>
      </c>
      <c r="N1" s="3" t="str">
        <f>H1</f>
        <v>liverpool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0.292369228898715</v>
      </c>
      <c r="C2" s="1">
        <v>0.20929720576531927</v>
      </c>
      <c r="D2" s="2" t="s">
        <v>7</v>
      </c>
      <c r="E2" s="1">
        <v>2.5</v>
      </c>
      <c r="F2" s="2" t="s">
        <v>8</v>
      </c>
      <c r="G2" s="1">
        <v>3.54</v>
      </c>
      <c r="H2" s="1">
        <v>2.35</v>
      </c>
      <c r="J2" s="3"/>
      <c r="K2" s="4"/>
      <c r="L2" s="5">
        <v>3.5</v>
      </c>
      <c r="M2" s="6">
        <f t="shared" ref="M2:M11" si="3">IFERROR(-ln(1-(1/L2)),0)</f>
        <v>0.3364722366</v>
      </c>
      <c r="N2" s="3"/>
      <c r="O2" s="4"/>
      <c r="P2" s="5">
        <v>2.25</v>
      </c>
      <c r="Q2" s="6">
        <f t="shared" ref="Q2:Q11" si="4">IFERROR(-ln(1-(1/P2)),0)</f>
        <v>0.5877866649</v>
      </c>
    </row>
    <row r="3">
      <c r="A3" s="2" t="s">
        <v>5</v>
      </c>
      <c r="B3" s="7">
        <f t="shared" ref="B3:C3" si="2">-ln(B2)</f>
        <v>1.229737793</v>
      </c>
      <c r="C3" s="7">
        <f t="shared" si="2"/>
        <v>1.564</v>
      </c>
      <c r="D3" s="2" t="s">
        <v>9</v>
      </c>
      <c r="E3" s="1">
        <v>1.89</v>
      </c>
      <c r="F3" s="2" t="s">
        <v>10</v>
      </c>
      <c r="G3" s="8">
        <f>1/(1/G2+SUM(D37:H40))</f>
        <v>3.317093759</v>
      </c>
      <c r="H3" s="8">
        <f>1/(1/H2+SUM(M37:Q40))</f>
        <v>2.25663386</v>
      </c>
      <c r="J3" s="3"/>
      <c r="K3" s="4"/>
      <c r="L3" s="5">
        <v>3.5</v>
      </c>
      <c r="M3" s="6">
        <f t="shared" si="3"/>
        <v>0.3364722366</v>
      </c>
      <c r="N3" s="3"/>
      <c r="O3" s="4"/>
      <c r="P3" s="5">
        <v>2.75</v>
      </c>
      <c r="Q3" s="6">
        <f t="shared" si="4"/>
        <v>0.4519851237</v>
      </c>
    </row>
    <row r="4">
      <c r="A4" s="2" t="s">
        <v>11</v>
      </c>
      <c r="J4" s="3"/>
      <c r="K4" s="4"/>
      <c r="L4" s="5">
        <v>3.25</v>
      </c>
      <c r="M4" s="6">
        <f t="shared" si="3"/>
        <v>0.3677247801</v>
      </c>
      <c r="N4" s="3"/>
      <c r="O4" s="4"/>
      <c r="P4" s="5">
        <v>3.25</v>
      </c>
      <c r="Q4" s="6">
        <f t="shared" si="4"/>
        <v>0.3677247801</v>
      </c>
    </row>
    <row r="5">
      <c r="A5" s="2">
        <v>1.0</v>
      </c>
      <c r="B5" s="7">
        <f t="shared" ref="B5:C5" si="5">((B$3^$A5)/FACT($A5))*EXP(-B$3)</f>
        <v>0.3595374903</v>
      </c>
      <c r="C5" s="7">
        <f t="shared" si="5"/>
        <v>0.3273408298</v>
      </c>
      <c r="D5" s="2">
        <v>1.5</v>
      </c>
      <c r="E5" s="7">
        <f>1/(B2*(C2+C5)+B5*C2)</f>
        <v>4.3076221</v>
      </c>
      <c r="J5" s="3"/>
      <c r="K5" s="4"/>
      <c r="L5" s="5">
        <v>3.75</v>
      </c>
      <c r="M5" s="6">
        <f t="shared" si="3"/>
        <v>0.3101549283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0.2210684199</v>
      </c>
      <c r="C6" s="7">
        <f t="shared" si="6"/>
        <v>0.2559805289</v>
      </c>
      <c r="D6" s="2">
        <v>2.5</v>
      </c>
      <c r="E6" s="7">
        <f>1/(B2*(C2+C5+C6)+B5*(C2+C5)+B6*C2)</f>
        <v>2.123377699</v>
      </c>
      <c r="F6" s="2" t="s">
        <v>12</v>
      </c>
      <c r="J6" s="3"/>
      <c r="K6" s="4"/>
      <c r="L6" s="5">
        <v>8.0</v>
      </c>
      <c r="M6" s="6">
        <f t="shared" si="3"/>
        <v>0.1335313926</v>
      </c>
      <c r="N6" s="3"/>
      <c r="O6" s="4"/>
      <c r="P6" s="5">
        <v>5.0</v>
      </c>
      <c r="Q6" s="6">
        <f t="shared" si="4"/>
        <v>0.2231435513</v>
      </c>
    </row>
    <row r="7">
      <c r="A7" s="2">
        <v>3.0</v>
      </c>
      <c r="B7" s="7">
        <f t="shared" ref="B7:C7" si="7">((B$3^$A7)/FACT($A7))*EXP(-B$3)</f>
        <v>0.09061873026</v>
      </c>
      <c r="C7" s="7">
        <f t="shared" si="7"/>
        <v>0.1334511824</v>
      </c>
      <c r="D7" s="2">
        <v>3.5</v>
      </c>
      <c r="E7" s="7">
        <f>1/(B2*(C2+C5+C6+C7)+B5*(C2+C5+C6)+B6*(C2+C5)+B7*C2)</f>
        <v>1.442313884</v>
      </c>
      <c r="F7" s="7" t="str">
        <f>B1</f>
        <v>everton</v>
      </c>
      <c r="G7" s="2" t="s">
        <v>13</v>
      </c>
      <c r="H7" s="7" t="str">
        <f>C1</f>
        <v>liverpool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10.0</v>
      </c>
      <c r="Q7" s="6">
        <f t="shared" si="4"/>
        <v>0.1053605157</v>
      </c>
    </row>
    <row r="8">
      <c r="A8" s="2">
        <v>4.0</v>
      </c>
      <c r="B8" s="7">
        <f t="shared" ref="B8:C8" si="8">((B$3^$A8)/FACT($A8))*EXP(-B$3)</f>
        <v>0.02785931934</v>
      </c>
      <c r="C8" s="7">
        <f t="shared" si="8"/>
        <v>0.05217941232</v>
      </c>
      <c r="D8" s="2">
        <v>4.5</v>
      </c>
      <c r="E8" s="7">
        <f>1/(B2*(C2+C5+C6+C7+C8)+B5*(C2+C5+C6+C7)+B6*(C2+C5+C6)+B7*(C2+C5)+B8*C2)</f>
        <v>1.178342054</v>
      </c>
      <c r="F8" s="7">
        <f>B5*C2+B6*(C5+C2)+B7*(C6+C5+C2)+B8*(C7+C6+C5+C2)+B9*(C8+C7+C6+C5+C2)+B10*(C9+C8+C7+C6+C5+C2)+B11*(C10+C9+C8+C7+C6+C5+C2)+B12*(C11+C10+C9+C8+C7+C6+C5+C2)</f>
        <v>0.2998936305</v>
      </c>
      <c r="G8" s="7">
        <f>B2*C2+B5*C5+B6*C6+B7*C7+B8*C8+B9*C9+B10*C10+B11*C11+B12*C12</f>
        <v>0.2491374855</v>
      </c>
      <c r="H8" s="7">
        <f>C5*B2+C6*(B5+B2)+C7*(B6+B5+B2)+C8*(B7+B6+B5+B2)+C9*(B8+B7+B6+B5+B2)+C10*(B9+B8+B7+B6+B5+B2)+C11*(B10+B9+B7+B8+B6+B5+B2)</f>
        <v>0.4507389851</v>
      </c>
      <c r="J8" s="3"/>
      <c r="K8" s="4"/>
      <c r="L8" s="5">
        <v>10.0</v>
      </c>
      <c r="M8" s="6">
        <f t="shared" si="3"/>
        <v>0.1053605157</v>
      </c>
      <c r="N8" s="3"/>
      <c r="O8" s="4"/>
      <c r="P8" s="5">
        <v>10.0</v>
      </c>
      <c r="Q8" s="6">
        <f t="shared" si="4"/>
        <v>0.1053605157</v>
      </c>
    </row>
    <row r="9">
      <c r="A9" s="2">
        <v>5.0</v>
      </c>
      <c r="B9" s="7">
        <f t="shared" ref="B9:C9" si="9">((B$3^$A9)/FACT($A9))*EXP(-B$3)</f>
        <v>0.006851931575</v>
      </c>
      <c r="C9" s="7">
        <f t="shared" si="9"/>
        <v>0.01632172017</v>
      </c>
      <c r="F9" s="9">
        <f t="shared" ref="F9:H9" si="10">1/F8</f>
        <v>3.334515636</v>
      </c>
      <c r="G9" s="9">
        <f t="shared" si="10"/>
        <v>4.013848009</v>
      </c>
      <c r="H9" s="9">
        <f t="shared" si="10"/>
        <v>2.218578896</v>
      </c>
      <c r="J9" s="3"/>
      <c r="K9" s="4"/>
      <c r="L9" s="5">
        <v>12.0</v>
      </c>
      <c r="M9" s="6">
        <f t="shared" si="3"/>
        <v>0.08701137699</v>
      </c>
      <c r="N9" s="3"/>
      <c r="O9" s="4"/>
      <c r="P9" s="5">
        <v>12.0</v>
      </c>
      <c r="Q9" s="6">
        <f t="shared" si="4"/>
        <v>0.08701137699</v>
      </c>
    </row>
    <row r="10">
      <c r="A10" s="2">
        <v>6.0</v>
      </c>
      <c r="B10" s="7">
        <f t="shared" ref="B10:C10" si="11">((B$3^$A10)/FACT($A10))*EXP(-B$3)</f>
        <v>0.001404346535</v>
      </c>
      <c r="C10" s="7">
        <f t="shared" si="11"/>
        <v>0.004254528392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0.0002467111442</v>
      </c>
      <c r="C11" s="7">
        <f t="shared" si="12"/>
        <v>0.0009505832007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0.00003792375224</v>
      </c>
      <c r="C12" s="7">
        <f t="shared" si="13"/>
        <v>0.0001858390157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liverpool</v>
      </c>
      <c r="J13" s="3"/>
      <c r="K13" s="3"/>
      <c r="L13" s="3" t="s">
        <v>14</v>
      </c>
      <c r="M13" s="6">
        <f>SUM(M2:M11)</f>
        <v>1.920073726</v>
      </c>
      <c r="N13" s="3"/>
      <c r="O13" s="3"/>
      <c r="P13" s="3" t="s">
        <v>14</v>
      </c>
      <c r="Q13" s="6">
        <f>SUM(Q2:Q11)</f>
        <v>2.3765132</v>
      </c>
    </row>
    <row r="14">
      <c r="A14" s="7" t="str">
        <f>B1</f>
        <v>everton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1.695076606</v>
      </c>
      <c r="N14" s="3"/>
      <c r="O14" s="3"/>
      <c r="P14" s="3" t="s">
        <v>15</v>
      </c>
      <c r="Q14" s="6">
        <f>SUM(Q2:Q8)</f>
        <v>2.15151608</v>
      </c>
    </row>
    <row r="15">
      <c r="A15" s="2">
        <v>0.0</v>
      </c>
      <c r="B15" s="7">
        <f>B2*$C$2</f>
        <v>0.06119206266</v>
      </c>
      <c r="C15" s="7">
        <f>C5*B2</f>
        <v>0.095704386</v>
      </c>
      <c r="D15" s="7">
        <f>C6*B2</f>
        <v>0.07484082985</v>
      </c>
      <c r="E15" s="7">
        <f>C7*B2</f>
        <v>0.0390170193</v>
      </c>
      <c r="F15" s="7">
        <f>C8*B2</f>
        <v>0.01525565454</v>
      </c>
      <c r="G15" s="7">
        <f>C9*B2</f>
        <v>0.004771968742</v>
      </c>
      <c r="H15" s="7">
        <f>$C$10*B2</f>
        <v>0.001243893185</v>
      </c>
    </row>
    <row r="16">
      <c r="A16" s="2">
        <v>1.0</v>
      </c>
      <c r="B16" s="7">
        <f t="shared" ref="B16:B21" si="14">B5*$C$2</f>
        <v>0.07525019208</v>
      </c>
      <c r="C16" s="7">
        <f t="shared" ref="C16:C21" si="15">$C$5*B5</f>
        <v>0.1176913004</v>
      </c>
      <c r="D16" s="7">
        <f t="shared" ref="D16:D21" si="16">$C$6*B5</f>
        <v>0.09203459693</v>
      </c>
      <c r="E16" s="7">
        <f t="shared" ref="E16:E21" si="17">$C$7*B5</f>
        <v>0.0479807032</v>
      </c>
      <c r="F16" s="7">
        <f t="shared" ref="F16:F21" si="18">$C$8*B5</f>
        <v>0.01876045495</v>
      </c>
      <c r="G16" s="7">
        <f t="shared" ref="G16:G21" si="19">$C$9*B5</f>
        <v>0.005868270308</v>
      </c>
      <c r="H16" s="7">
        <f t="shared" ref="H16:H21" si="20">$C$10*B5</f>
        <v>0.00152966246</v>
      </c>
    </row>
    <row r="17">
      <c r="A17" s="2">
        <v>2.0</v>
      </c>
      <c r="B17" s="7">
        <f t="shared" si="14"/>
        <v>0.04626900257</v>
      </c>
      <c r="C17" s="7">
        <f t="shared" si="15"/>
        <v>0.07236472001</v>
      </c>
      <c r="D17" s="7">
        <f t="shared" si="16"/>
        <v>0.05658921105</v>
      </c>
      <c r="E17" s="7">
        <f t="shared" si="17"/>
        <v>0.02950184203</v>
      </c>
      <c r="F17" s="7">
        <f t="shared" si="18"/>
        <v>0.01153522023</v>
      </c>
      <c r="G17" s="7">
        <f t="shared" si="19"/>
        <v>0.003608216889</v>
      </c>
      <c r="H17" s="7">
        <f t="shared" si="20"/>
        <v>0.000940541869</v>
      </c>
    </row>
    <row r="18">
      <c r="A18" s="2">
        <v>3.0</v>
      </c>
      <c r="B18" s="7">
        <f t="shared" si="14"/>
        <v>0.01896624703</v>
      </c>
      <c r="C18" s="7">
        <f t="shared" si="15"/>
        <v>0.02966321036</v>
      </c>
      <c r="D18" s="7">
        <f t="shared" si="16"/>
        <v>0.0231966305</v>
      </c>
      <c r="E18" s="7">
        <f t="shared" si="17"/>
        <v>0.0120931767</v>
      </c>
      <c r="F18" s="7">
        <f t="shared" si="18"/>
        <v>0.00472843209</v>
      </c>
      <c r="G18" s="7">
        <f t="shared" si="19"/>
        <v>0.001479053558</v>
      </c>
      <c r="H18" s="7">
        <f t="shared" si="20"/>
        <v>0.0003855399607</v>
      </c>
    </row>
    <row r="19">
      <c r="A19" s="2">
        <v>4.0</v>
      </c>
      <c r="B19" s="7">
        <f t="shared" si="14"/>
        <v>0.005830877692</v>
      </c>
      <c r="C19" s="7">
        <f t="shared" si="15"/>
        <v>0.00911949271</v>
      </c>
      <c r="D19" s="7">
        <f t="shared" si="16"/>
        <v>0.007131443299</v>
      </c>
      <c r="E19" s="7">
        <f t="shared" si="17"/>
        <v>0.003717859107</v>
      </c>
      <c r="F19" s="7">
        <f t="shared" si="18"/>
        <v>0.001453682911</v>
      </c>
      <c r="G19" s="7">
        <f t="shared" si="19"/>
        <v>0.0004547120145</v>
      </c>
      <c r="H19" s="7">
        <f t="shared" si="20"/>
        <v>0.0001185282651</v>
      </c>
    </row>
    <row r="20">
      <c r="A20" s="2">
        <v>5.0</v>
      </c>
      <c r="B20" s="7">
        <f t="shared" si="14"/>
        <v>0.001434090133</v>
      </c>
      <c r="C20" s="7">
        <f t="shared" si="15"/>
        <v>0.002242916968</v>
      </c>
      <c r="D20" s="7">
        <f t="shared" si="16"/>
        <v>0.001753961069</v>
      </c>
      <c r="E20" s="7">
        <f t="shared" si="17"/>
        <v>0.0009143983705</v>
      </c>
      <c r="F20" s="7">
        <f t="shared" si="18"/>
        <v>0.0003575297629</v>
      </c>
      <c r="G20" s="7">
        <f t="shared" si="19"/>
        <v>0.0001118353098</v>
      </c>
      <c r="H20" s="7">
        <f t="shared" si="20"/>
        <v>0.00002915173743</v>
      </c>
    </row>
    <row r="21">
      <c r="A21" s="2">
        <v>6.0</v>
      </c>
      <c r="B21" s="7">
        <f t="shared" si="14"/>
        <v>0.0002939258058</v>
      </c>
      <c r="C21" s="7">
        <f t="shared" si="15"/>
        <v>0.0004596999603</v>
      </c>
      <c r="D21" s="7">
        <f t="shared" si="16"/>
        <v>0.0003594853689</v>
      </c>
      <c r="E21" s="7">
        <f t="shared" si="17"/>
        <v>0.0001874117057</v>
      </c>
      <c r="F21" s="7">
        <f t="shared" si="18"/>
        <v>0.00007327797692</v>
      </c>
      <c r="G21" s="7">
        <f t="shared" si="19"/>
        <v>0.00002292135118</v>
      </c>
      <c r="H21" s="7">
        <f t="shared" si="20"/>
        <v>0.000005974832207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0.000007937335376</v>
      </c>
      <c r="C25" s="10">
        <f>C15*B12</f>
        <v>0.000003629469423</v>
      </c>
      <c r="D25" s="10">
        <f>C16*B12</f>
        <v>0.000004463295718</v>
      </c>
      <c r="E25" s="10">
        <f>C17*B12</f>
        <v>0.000002744341713</v>
      </c>
      <c r="F25" s="10">
        <f>C18*B12</f>
        <v>0.00000112494024</v>
      </c>
      <c r="G25" s="10">
        <f>C19*B12</f>
        <v>0.0000003458453821</v>
      </c>
      <c r="H25" s="10">
        <f>$C$10*B12</f>
        <v>0.0000001613476806</v>
      </c>
    </row>
    <row r="26">
      <c r="A26" s="2">
        <v>1.0</v>
      </c>
      <c r="B26" s="10">
        <f t="shared" ref="B26:B31" si="21">B15*$C$2</f>
        <v>0.01280732773</v>
      </c>
      <c r="C26" s="10">
        <f t="shared" ref="C26:C31" si="22">$C$5*B15</f>
        <v>0.02003066057</v>
      </c>
      <c r="D26" s="10">
        <f>$C$6*B15</f>
        <v>0.01566397657</v>
      </c>
      <c r="E26" s="10">
        <f>$C$7*B15</f>
        <v>0.008166153116</v>
      </c>
      <c r="F26" s="10">
        <f>$C$8*B15</f>
        <v>0.003192965868</v>
      </c>
      <c r="G26" s="10">
        <f>$C$9*B15</f>
        <v>0.0009987597236</v>
      </c>
      <c r="H26" s="10">
        <f>$C$10*B15</f>
        <v>0.000260343368</v>
      </c>
    </row>
    <row r="27">
      <c r="A27" s="2">
        <v>2.0</v>
      </c>
      <c r="B27" s="10">
        <f t="shared" si="21"/>
        <v>0.01574965494</v>
      </c>
      <c r="C27" s="10">
        <f t="shared" si="22"/>
        <v>0.02463246032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0.009683972951</v>
      </c>
      <c r="C28" s="10">
        <f t="shared" si="22"/>
        <v>0.01514573369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0.003969582508</v>
      </c>
      <c r="C29" s="10">
        <f t="shared" si="22"/>
        <v>0.006208427042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0.001220386408</v>
      </c>
      <c r="C30" s="10">
        <f t="shared" si="22"/>
        <v>0.001908684342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0.0003001510576</v>
      </c>
      <c r="C31" s="10">
        <f t="shared" si="22"/>
        <v>0.0004694362541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everton</v>
      </c>
      <c r="J33" s="2" t="s">
        <v>17</v>
      </c>
      <c r="K33" s="7" t="str">
        <f>B13</f>
        <v>liverpool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0.000001661262115</v>
      </c>
      <c r="C36" s="10">
        <f t="shared" ref="C36:C41" si="24">$C$5*B25</f>
        <v>0.000002598213948</v>
      </c>
      <c r="D36" s="10">
        <f>$C$6*B25</f>
        <v>0.000002031803308</v>
      </c>
      <c r="E36" s="10">
        <f>$C$7*B25</f>
        <v>0.000001059246791</v>
      </c>
      <c r="F36" s="10">
        <f>$C$8*B25</f>
        <v>0.0000004141654953</v>
      </c>
      <c r="G36" s="10">
        <f>$C$9*B25</f>
        <v>0.0000001295509669</v>
      </c>
      <c r="H36" s="10">
        <f>$C$10*B25</f>
        <v>0.00000003376961871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0.002680537907</v>
      </c>
      <c r="C37" s="10">
        <f t="shared" si="24"/>
        <v>0.004192361287</v>
      </c>
      <c r="D37" s="7">
        <f t="shared" ref="D37:H37" si="25">D27*D17</f>
        <v>0.009431535175</v>
      </c>
      <c r="E37" s="7">
        <f t="shared" si="25"/>
        <v>0.002950184203</v>
      </c>
      <c r="F37" s="7">
        <f t="shared" si="25"/>
        <v>0.0007690146822</v>
      </c>
      <c r="G37" s="7">
        <f t="shared" si="25"/>
        <v>0.0001718198518</v>
      </c>
      <c r="H37" s="7">
        <f t="shared" si="25"/>
        <v>0.00003359078104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0.009431535175</v>
      </c>
      <c r="N37" s="7">
        <f>E27*D18</f>
        <v>0.00231966305</v>
      </c>
      <c r="O37" s="7">
        <f>F27*D19</f>
        <v>0.0004754295533</v>
      </c>
      <c r="P37" s="7">
        <f>G27*D20</f>
        <v>0.00008352195565</v>
      </c>
      <c r="Q37" s="7">
        <f>H27*D21</f>
        <v>0.00001283876318</v>
      </c>
    </row>
    <row r="38">
      <c r="A38" s="2">
        <v>3.0</v>
      </c>
      <c r="B38" s="10">
        <f t="shared" si="23"/>
        <v>0.00329635877</v>
      </c>
      <c r="C38" s="10">
        <f t="shared" si="24"/>
        <v>0.005155505116</v>
      </c>
      <c r="D38" s="10"/>
      <c r="E38" s="7">
        <f t="shared" ref="E38:H38" si="28">E28*E18</f>
        <v>0.00362795301</v>
      </c>
      <c r="F38" s="7">
        <f t="shared" si="28"/>
        <v>0.000945686418</v>
      </c>
      <c r="G38" s="7">
        <f t="shared" si="28"/>
        <v>0.0002112933654</v>
      </c>
      <c r="H38" s="7">
        <f t="shared" si="28"/>
        <v>0.00004130785294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0.00362795301</v>
      </c>
      <c r="O38" s="7">
        <f>F28*E19</f>
        <v>0.0007435718213</v>
      </c>
      <c r="P38" s="7">
        <f>G28*E20</f>
        <v>0.0001306283386</v>
      </c>
      <c r="Q38" s="7">
        <f>H28*E21</f>
        <v>0.00002007982561</v>
      </c>
    </row>
    <row r="39">
      <c r="A39" s="2">
        <v>4.0</v>
      </c>
      <c r="B39" s="10">
        <f t="shared" si="23"/>
        <v>0.002026828479</v>
      </c>
      <c r="C39" s="10">
        <f t="shared" si="24"/>
        <v>0.003169959742</v>
      </c>
      <c r="D39" s="10"/>
      <c r="E39" s="10"/>
      <c r="F39" s="7">
        <f t="shared" ref="F39:H39" si="29">F29*F19</f>
        <v>0.0005814731643</v>
      </c>
      <c r="G39" s="7">
        <f t="shared" si="29"/>
        <v>0.0001299177184</v>
      </c>
      <c r="H39" s="7">
        <f t="shared" si="29"/>
        <v>0.00002539891395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0.0005814731643</v>
      </c>
      <c r="P39" s="7">
        <f>G29*F20</f>
        <v>0.0001021513608</v>
      </c>
      <c r="Q39" s="7">
        <f>H29*F21</f>
        <v>0.00001570242362</v>
      </c>
    </row>
    <row r="40">
      <c r="A40" s="2">
        <v>5.0</v>
      </c>
      <c r="B40" s="10">
        <f t="shared" si="23"/>
        <v>0.0008308225269</v>
      </c>
      <c r="C40" s="10">
        <f t="shared" si="24"/>
        <v>0.001299406432</v>
      </c>
      <c r="D40" s="10"/>
      <c r="E40" s="10"/>
      <c r="F40" s="10"/>
      <c r="G40" s="7">
        <f t="shared" ref="G40:H40" si="30">G30*G20</f>
        <v>0.00005325490944</v>
      </c>
      <c r="H40" s="7">
        <f t="shared" si="30"/>
        <v>0.0000104113348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0.00005325490944</v>
      </c>
      <c r="Q40" s="7">
        <f>H30*G21</f>
        <v>0.00000818619685</v>
      </c>
    </row>
    <row r="41">
      <c r="A41" s="2">
        <v>6.0</v>
      </c>
      <c r="B41" s="10">
        <f t="shared" si="23"/>
        <v>0.0002554234652</v>
      </c>
      <c r="C41" s="10">
        <f t="shared" si="24"/>
        <v>0.0003994822995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46</v>
      </c>
      <c r="C1" s="1" t="s">
        <v>47</v>
      </c>
      <c r="D1" s="2" t="s">
        <v>2</v>
      </c>
      <c r="G1" s="2" t="str">
        <f t="shared" ref="G1:H1" si="1">B1</f>
        <v>notingham</v>
      </c>
      <c r="H1" s="2" t="str">
        <f t="shared" si="1"/>
        <v>burnley</v>
      </c>
      <c r="J1" s="3" t="str">
        <f>G1</f>
        <v>notingham</v>
      </c>
      <c r="K1" s="3" t="s">
        <v>3</v>
      </c>
      <c r="L1" s="3" t="s">
        <v>4</v>
      </c>
      <c r="M1" s="3" t="s">
        <v>5</v>
      </c>
      <c r="N1" s="3" t="str">
        <f>H1</f>
        <v>burnley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0.11994377619132102</v>
      </c>
      <c r="C2" s="1">
        <v>0.4556638100677033</v>
      </c>
      <c r="D2" s="2" t="s">
        <v>7</v>
      </c>
      <c r="E2" s="1">
        <v>2.5</v>
      </c>
      <c r="F2" s="2" t="s">
        <v>8</v>
      </c>
      <c r="G2" s="1">
        <v>1.5</v>
      </c>
      <c r="H2" s="1">
        <v>8.09</v>
      </c>
      <c r="J2" s="3"/>
      <c r="K2" s="4"/>
      <c r="L2" s="5">
        <v>3.5</v>
      </c>
      <c r="M2" s="6">
        <f t="shared" ref="M2:M11" si="3">IFERROR(-ln(1-(1/L2)),0)</f>
        <v>0.3364722366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2.120732178</v>
      </c>
      <c r="C3" s="7">
        <f t="shared" si="2"/>
        <v>0.786</v>
      </c>
      <c r="D3" s="2" t="s">
        <v>9</v>
      </c>
      <c r="E3" s="1">
        <v>1.8</v>
      </c>
      <c r="F3" s="2" t="s">
        <v>10</v>
      </c>
      <c r="G3" s="8">
        <f>1/(1/G2+SUM(D37:H40))</f>
        <v>1.477301944</v>
      </c>
      <c r="H3" s="8">
        <f>1/(1/H2+SUM(M37:Q40))</f>
        <v>7.272288924</v>
      </c>
      <c r="J3" s="3"/>
      <c r="K3" s="4"/>
      <c r="L3" s="5">
        <v>3.0</v>
      </c>
      <c r="M3" s="6">
        <f t="shared" si="3"/>
        <v>0.4054651081</v>
      </c>
      <c r="N3" s="3"/>
      <c r="O3" s="4"/>
      <c r="P3" s="5">
        <v>3.5</v>
      </c>
      <c r="Q3" s="6">
        <f t="shared" si="4"/>
        <v>0.3364722366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4.5</v>
      </c>
      <c r="Q4" s="6">
        <f t="shared" si="4"/>
        <v>0.2513144283</v>
      </c>
    </row>
    <row r="5">
      <c r="A5" s="2">
        <v>1.0</v>
      </c>
      <c r="B5" s="7">
        <f t="shared" ref="B5:C5" si="5">((B$3^$A5)/FACT($A5))*EXP(-B$3)</f>
        <v>0.2543686257</v>
      </c>
      <c r="C5" s="7">
        <f t="shared" si="5"/>
        <v>0.3581517547</v>
      </c>
      <c r="D5" s="2">
        <v>1.5</v>
      </c>
      <c r="E5" s="7">
        <f>1/(B2*(C2+C5)+B5*C2)</f>
        <v>4.683430777</v>
      </c>
      <c r="J5" s="3"/>
      <c r="K5" s="4"/>
      <c r="L5" s="5">
        <v>5.0</v>
      </c>
      <c r="M5" s="6">
        <f t="shared" si="3"/>
        <v>0.2231435513</v>
      </c>
      <c r="N5" s="3"/>
      <c r="O5" s="4"/>
      <c r="P5" s="5">
        <v>8.0</v>
      </c>
      <c r="Q5" s="6">
        <f t="shared" si="4"/>
        <v>0.1335313926</v>
      </c>
    </row>
    <row r="6">
      <c r="A6" s="2">
        <v>2.0</v>
      </c>
      <c r="B6" s="7">
        <f t="shared" ref="B6:C6" si="6">((B$3^$A6)/FACT($A6))*EXP(-B$3)</f>
        <v>0.2697238648</v>
      </c>
      <c r="C6" s="7">
        <f t="shared" si="6"/>
        <v>0.1407536396</v>
      </c>
      <c r="D6" s="2">
        <v>2.5</v>
      </c>
      <c r="E6" s="7">
        <f>1/(B2*(C2+C5+C6)+B5*(C2+C5)+B6*C2)</f>
        <v>2.250188638</v>
      </c>
      <c r="F6" s="2" t="s">
        <v>12</v>
      </c>
      <c r="J6" s="3"/>
      <c r="K6" s="4"/>
      <c r="L6" s="5">
        <v>8.0</v>
      </c>
      <c r="M6" s="6">
        <f t="shared" si="3"/>
        <v>0.1335313926</v>
      </c>
      <c r="N6" s="3"/>
      <c r="O6" s="4"/>
      <c r="P6" s="5">
        <v>10.0</v>
      </c>
      <c r="Q6" s="6">
        <f t="shared" si="4"/>
        <v>0.1053605157</v>
      </c>
    </row>
    <row r="7">
      <c r="A7" s="2">
        <v>3.0</v>
      </c>
      <c r="B7" s="7">
        <f t="shared" ref="B7:C7" si="7">((B$3^$A7)/FACT($A7))*EXP(-B$3)</f>
        <v>0.190670693</v>
      </c>
      <c r="C7" s="7">
        <f t="shared" si="7"/>
        <v>0.03687745358</v>
      </c>
      <c r="D7" s="2">
        <v>3.5</v>
      </c>
      <c r="E7" s="7">
        <f>1/(B2*(C2+C5+C6+C7)+B5*(C2+C5+C6)+B6*(C2+C5)+B7*C2)</f>
        <v>1.496742654</v>
      </c>
      <c r="F7" s="7" t="str">
        <f>B1</f>
        <v>notingham</v>
      </c>
      <c r="G7" s="2" t="s">
        <v>13</v>
      </c>
      <c r="H7" s="7" t="str">
        <f>C1</f>
        <v>burnley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10.0</v>
      </c>
      <c r="Q7" s="6">
        <f t="shared" si="4"/>
        <v>0.1053605157</v>
      </c>
    </row>
    <row r="8">
      <c r="A8" s="2">
        <v>4.0</v>
      </c>
      <c r="B8" s="7">
        <f t="shared" ref="B8:C8" si="8">((B$3^$A8)/FACT($A8))*EXP(-B$3)</f>
        <v>0.1010903685</v>
      </c>
      <c r="C8" s="7">
        <f t="shared" si="8"/>
        <v>0.007246419628</v>
      </c>
      <c r="D8" s="2">
        <v>4.5</v>
      </c>
      <c r="E8" s="7">
        <f>1/(B2*(C2+C5+C6+C7+C8)+B5*(C2+C5+C6+C7)+B6*(C2+C5+C6)+B7*(C2+C5)+B8*C2)</f>
        <v>1.203827152</v>
      </c>
      <c r="F8" s="7">
        <f>B5*C2+B6*(C5+C2)+B7*(C6+C5+C2)+B8*(C7+C6+C5+C2)+B9*(C8+C7+C6+C5+C2)+B10*(C9+C8+C7+C6+C5+C2)+B11*(C10+C9+C8+C7+C6+C5+C2)+B12*(C11+C10+C9+C8+C7+C6+C5+C2)</f>
        <v>0.6814283153</v>
      </c>
      <c r="G8" s="7">
        <f>B2*C2+B5*C5+B6*C6+B7*C7+B8*C8+B9*C9+B10*C10+B11*C11+B12*C12</f>
        <v>0.1915363996</v>
      </c>
      <c r="H8" s="7">
        <f>C5*B2+C6*(B5+B2)+C7*(B6+B5+B2)+C8*(B7+B6+B5+B2)+C9*(B8+B7+B6+B5+B2)+C10*(B9+B8+B7+B6+B5+B2)+C11*(B10+B9+B7+B8+B6+B5+B2)</f>
        <v>0.12667166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10.0</v>
      </c>
      <c r="Q8" s="6">
        <f t="shared" si="4"/>
        <v>0.1053605157</v>
      </c>
    </row>
    <row r="9">
      <c r="A9" s="2">
        <v>5.0</v>
      </c>
      <c r="B9" s="7">
        <f t="shared" ref="B9:C9" si="9">((B$3^$A9)/FACT($A9))*EXP(-B$3)</f>
        <v>0.04287711947</v>
      </c>
      <c r="C9" s="7">
        <f t="shared" si="9"/>
        <v>0.001139137165</v>
      </c>
      <c r="F9" s="9">
        <f t="shared" ref="F9:H9" si="10">1/F8</f>
        <v>1.467505793</v>
      </c>
      <c r="G9" s="9">
        <f t="shared" si="10"/>
        <v>5.220939738</v>
      </c>
      <c r="H9" s="9">
        <f t="shared" si="10"/>
        <v>7.894425633</v>
      </c>
      <c r="J9" s="3"/>
      <c r="K9" s="4"/>
      <c r="L9" s="5">
        <v>8.0</v>
      </c>
      <c r="M9" s="6">
        <f t="shared" si="3"/>
        <v>0.1335313926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0.01515514783</v>
      </c>
      <c r="C10" s="7">
        <f t="shared" si="11"/>
        <v>0.0001492269687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12.0</v>
      </c>
      <c r="Q10" s="6">
        <f t="shared" si="4"/>
        <v>0.08701137699</v>
      </c>
    </row>
    <row r="11">
      <c r="A11" s="2">
        <v>7.0</v>
      </c>
      <c r="B11" s="7">
        <f t="shared" ref="B11:C11" si="12">((B$3^$A11)/FACT($A11))*EXP(-B$3)</f>
        <v>0.00459142995</v>
      </c>
      <c r="C11" s="7">
        <f t="shared" si="12"/>
        <v>0.00001675605677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0.001217149155</v>
      </c>
      <c r="C12" s="7">
        <f t="shared" si="13"/>
        <v>0.000001646282578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burnley</v>
      </c>
      <c r="J13" s="3"/>
      <c r="K13" s="3"/>
      <c r="L13" s="3" t="s">
        <v>14</v>
      </c>
      <c r="M13" s="6">
        <f>SUM(M2:M11)</f>
        <v>1.880955048</v>
      </c>
      <c r="N13" s="3"/>
      <c r="O13" s="3"/>
      <c r="P13" s="3" t="s">
        <v>14</v>
      </c>
      <c r="Q13" s="6">
        <f>SUM(Q2:Q11)</f>
        <v>1.630121505</v>
      </c>
    </row>
    <row r="14">
      <c r="A14" s="7" t="str">
        <f>B1</f>
        <v>notingham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1.609437912</v>
      </c>
      <c r="N14" s="3"/>
      <c r="O14" s="3"/>
      <c r="P14" s="3" t="s">
        <v>15</v>
      </c>
      <c r="Q14" s="6">
        <f>SUM(Q2:Q8)</f>
        <v>1.405124385</v>
      </c>
    </row>
    <row r="15">
      <c r="A15" s="2">
        <v>0.0</v>
      </c>
      <c r="B15" s="7">
        <f>B2*$C$2</f>
        <v>0.05465403805</v>
      </c>
      <c r="C15" s="7">
        <f>C5*B2</f>
        <v>0.04295807391</v>
      </c>
      <c r="D15" s="7">
        <f>C6*B2</f>
        <v>0.01688252305</v>
      </c>
      <c r="E15" s="7">
        <f>C7*B2</f>
        <v>0.004423221038</v>
      </c>
      <c r="F15" s="7">
        <f>C8*B2</f>
        <v>0.000869162934</v>
      </c>
      <c r="G15" s="7">
        <f>C9*B2</f>
        <v>0.0001366324132</v>
      </c>
      <c r="H15" s="7">
        <f>$C$10*B2</f>
        <v>0.00001789884613</v>
      </c>
    </row>
    <row r="16">
      <c r="A16" s="2">
        <v>1.0</v>
      </c>
      <c r="B16" s="7">
        <f t="shared" ref="B16:B21" si="14">B5*$C$2</f>
        <v>0.1159065771</v>
      </c>
      <c r="C16" s="7">
        <f t="shared" ref="C16:C21" si="15">$C$5*B5</f>
        <v>0.09110256963</v>
      </c>
      <c r="D16" s="7">
        <f t="shared" ref="D16:D21" si="16">$C$6*B5</f>
        <v>0.03580330987</v>
      </c>
      <c r="E16" s="7">
        <f t="shared" ref="E16:E21" si="17">$C$7*B5</f>
        <v>0.009380467185</v>
      </c>
      <c r="F16" s="7">
        <f t="shared" ref="F16:F21" si="18">$C$8*B5</f>
        <v>0.001843261802</v>
      </c>
      <c r="G16" s="7">
        <f t="shared" ref="G16:G21" si="19">$C$9*B5</f>
        <v>0.0002897607552</v>
      </c>
      <c r="H16" s="7">
        <f t="shared" ref="H16:H21" si="20">$C$10*B5</f>
        <v>0.00003795865894</v>
      </c>
    </row>
    <row r="17">
      <c r="A17" s="2">
        <v>2.0</v>
      </c>
      <c r="B17" s="7">
        <f t="shared" si="14"/>
        <v>0.1229034039</v>
      </c>
      <c r="C17" s="7">
        <f t="shared" si="15"/>
        <v>0.09660207545</v>
      </c>
      <c r="D17" s="7">
        <f t="shared" si="16"/>
        <v>0.03796461565</v>
      </c>
      <c r="E17" s="7">
        <f t="shared" si="17"/>
        <v>0.009946729301</v>
      </c>
      <c r="F17" s="7">
        <f t="shared" si="18"/>
        <v>0.001954532308</v>
      </c>
      <c r="G17" s="7">
        <f t="shared" si="19"/>
        <v>0.0003072524788</v>
      </c>
      <c r="H17" s="7">
        <f t="shared" si="20"/>
        <v>0.00004025007472</v>
      </c>
    </row>
    <row r="18">
      <c r="A18" s="2">
        <v>3.0</v>
      </c>
      <c r="B18" s="7">
        <f t="shared" si="14"/>
        <v>0.08688173445</v>
      </c>
      <c r="C18" s="7">
        <f t="shared" si="15"/>
        <v>0.06828904328</v>
      </c>
      <c r="D18" s="7">
        <f t="shared" si="16"/>
        <v>0.02683759401</v>
      </c>
      <c r="E18" s="7">
        <f t="shared" si="17"/>
        <v>0.00703144963</v>
      </c>
      <c r="F18" s="7">
        <f t="shared" si="18"/>
        <v>0.001381679852</v>
      </c>
      <c r="G18" s="7">
        <f t="shared" si="19"/>
        <v>0.0002172000728</v>
      </c>
      <c r="H18" s="7">
        <f t="shared" si="20"/>
        <v>0.00002845320954</v>
      </c>
    </row>
    <row r="19">
      <c r="A19" s="2">
        <v>4.0</v>
      </c>
      <c r="B19" s="7">
        <f t="shared" si="14"/>
        <v>0.04606322248</v>
      </c>
      <c r="C19" s="7">
        <f t="shared" si="15"/>
        <v>0.03620569287</v>
      </c>
      <c r="D19" s="7">
        <f t="shared" si="16"/>
        <v>0.0142288373</v>
      </c>
      <c r="E19" s="7">
        <f t="shared" si="17"/>
        <v>0.003727955372</v>
      </c>
      <c r="F19" s="7">
        <f t="shared" si="18"/>
        <v>0.0007325432306</v>
      </c>
      <c r="G19" s="7">
        <f t="shared" si="19"/>
        <v>0.0001151557958</v>
      </c>
      <c r="H19" s="7">
        <f t="shared" si="20"/>
        <v>0.00001508540926</v>
      </c>
    </row>
    <row r="20">
      <c r="A20" s="2">
        <v>5.0</v>
      </c>
      <c r="B20" s="7">
        <f t="shared" si="14"/>
        <v>0.01953755162</v>
      </c>
      <c r="C20" s="7">
        <f t="shared" si="15"/>
        <v>0.01535651558</v>
      </c>
      <c r="D20" s="7">
        <f t="shared" si="16"/>
        <v>0.006035110621</v>
      </c>
      <c r="E20" s="7">
        <f t="shared" si="17"/>
        <v>0.001581198983</v>
      </c>
      <c r="F20" s="7">
        <f t="shared" si="18"/>
        <v>0.0003107056001</v>
      </c>
      <c r="G20" s="7">
        <f t="shared" si="19"/>
        <v>0.00004884292034</v>
      </c>
      <c r="H20" s="7">
        <f t="shared" si="20"/>
        <v>0.000006398422565</v>
      </c>
    </row>
    <row r="21">
      <c r="A21" s="2">
        <v>6.0</v>
      </c>
      <c r="B21" s="7">
        <f t="shared" si="14"/>
        <v>0.0069056524</v>
      </c>
      <c r="C21" s="7">
        <f t="shared" si="15"/>
        <v>0.005427842787</v>
      </c>
      <c r="D21" s="7">
        <f t="shared" si="16"/>
        <v>0.002133142215</v>
      </c>
      <c r="E21" s="7">
        <f t="shared" si="17"/>
        <v>0.0005588832604</v>
      </c>
      <c r="F21" s="7">
        <f t="shared" si="18"/>
        <v>0.0001098205607</v>
      </c>
      <c r="G21" s="7">
        <f t="shared" si="19"/>
        <v>0.00001726379214</v>
      </c>
      <c r="H21" s="7">
        <f t="shared" si="20"/>
        <v>0.00000226155677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0.0005546108212</v>
      </c>
      <c r="C25" s="10">
        <f>C15*B12</f>
        <v>0.00005228638335</v>
      </c>
      <c r="D25" s="10">
        <f>C16*B12</f>
        <v>0.0001108854156</v>
      </c>
      <c r="E25" s="10">
        <f>C17*B12</f>
        <v>0.0001175791345</v>
      </c>
      <c r="F25" s="10">
        <f>C18*B12</f>
        <v>0.0000831179513</v>
      </c>
      <c r="G25" s="10">
        <f>C19*B12</f>
        <v>0.00004406772847</v>
      </c>
      <c r="H25" s="10">
        <f>$C$10*B12</f>
        <v>0.0000001816314788</v>
      </c>
    </row>
    <row r="26">
      <c r="A26" s="2">
        <v>1.0</v>
      </c>
      <c r="B26" s="10">
        <f t="shared" ref="B26:B31" si="21">B15*$C$2</f>
        <v>0.02490386721</v>
      </c>
      <c r="C26" s="10">
        <f t="shared" ref="C26:C31" si="22">$C$5*B15</f>
        <v>0.01957443963</v>
      </c>
      <c r="D26" s="10">
        <f>$C$6*B15</f>
        <v>0.007692754775</v>
      </c>
      <c r="E26" s="10">
        <f>$C$7*B15</f>
        <v>0.002015501751</v>
      </c>
      <c r="F26" s="10">
        <f>$C$8*B15</f>
        <v>0.0003960460941</v>
      </c>
      <c r="G26" s="10">
        <f>$C$9*B15</f>
        <v>0.00006225844599</v>
      </c>
      <c r="H26" s="10">
        <f>$C$10*B15</f>
        <v>0.000008155856425</v>
      </c>
    </row>
    <row r="27">
      <c r="A27" s="2">
        <v>2.0</v>
      </c>
      <c r="B27" s="10">
        <f t="shared" si="21"/>
        <v>0.05281443255</v>
      </c>
      <c r="C27" s="10">
        <f t="shared" si="22"/>
        <v>0.04151214399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0.05600263328</v>
      </c>
      <c r="C28" s="10">
        <f t="shared" si="22"/>
        <v>0.04401806976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0.03958886215</v>
      </c>
      <c r="C29" s="10">
        <f t="shared" si="22"/>
        <v>0.03111684565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0.02098934346</v>
      </c>
      <c r="C30" s="10">
        <f t="shared" si="22"/>
        <v>0.01649762396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0.008902555212</v>
      </c>
      <c r="C31" s="10">
        <f t="shared" si="22"/>
        <v>0.006997408397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notingham</v>
      </c>
      <c r="J33" s="2" t="s">
        <v>17</v>
      </c>
      <c r="K33" s="7" t="str">
        <f>B13</f>
        <v>burnley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0.0002527160799</v>
      </c>
      <c r="C36" s="10">
        <f t="shared" ref="C36:C41" si="24">$C$5*B25</f>
        <v>0.0001986348388</v>
      </c>
      <c r="D36" s="10">
        <f>$C$6*B25</f>
        <v>0.00007806349165</v>
      </c>
      <c r="E36" s="10">
        <f>$C$7*B25</f>
        <v>0.00002045263481</v>
      </c>
      <c r="F36" s="10">
        <f>$C$8*B25</f>
        <v>0.000004018942741</v>
      </c>
      <c r="G36" s="10">
        <f>$C$9*B25</f>
        <v>0.0000006317777989</v>
      </c>
      <c r="H36" s="10">
        <f>$C$10*B25</f>
        <v>0.00000008276289165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0.01134779102</v>
      </c>
      <c r="C37" s="10">
        <f t="shared" si="24"/>
        <v>0.008919363742</v>
      </c>
      <c r="D37" s="7">
        <f t="shared" ref="D37:H37" si="25">D27*D17</f>
        <v>0.006327435942</v>
      </c>
      <c r="E37" s="7">
        <f t="shared" si="25"/>
        <v>0.0009946729301</v>
      </c>
      <c r="F37" s="7">
        <f t="shared" si="25"/>
        <v>0.0001303021538</v>
      </c>
      <c r="G37" s="7">
        <f t="shared" si="25"/>
        <v>0.00001463107042</v>
      </c>
      <c r="H37" s="7">
        <f t="shared" si="25"/>
        <v>0.000001437502668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0.006327435942</v>
      </c>
      <c r="N37" s="7">
        <f>E27*D18</f>
        <v>0.002683759401</v>
      </c>
      <c r="O37" s="7">
        <f>F27*D19</f>
        <v>0.0009485891531</v>
      </c>
      <c r="P37" s="7">
        <f>G27*D20</f>
        <v>0.0002873862201</v>
      </c>
      <c r="Q37" s="7">
        <f>H27*D21</f>
        <v>0.00007618365054</v>
      </c>
    </row>
    <row r="38">
      <c r="A38" s="2">
        <v>3.0</v>
      </c>
      <c r="B38" s="10">
        <f t="shared" si="23"/>
        <v>0.02406562556</v>
      </c>
      <c r="C38" s="10">
        <f t="shared" si="24"/>
        <v>0.01891558169</v>
      </c>
      <c r="D38" s="10"/>
      <c r="E38" s="7">
        <f t="shared" ref="E38:H38" si="28">E28*E18</f>
        <v>0.002109434889</v>
      </c>
      <c r="F38" s="7">
        <f t="shared" si="28"/>
        <v>0.0002763359705</v>
      </c>
      <c r="G38" s="7">
        <f t="shared" si="28"/>
        <v>0.00003102858183</v>
      </c>
      <c r="H38" s="7">
        <f t="shared" si="28"/>
        <v>0.000003048558165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0.002109434889</v>
      </c>
      <c r="O38" s="7">
        <f>F28*E19</f>
        <v>0.0007455910744</v>
      </c>
      <c r="P38" s="7">
        <f>G28*E20</f>
        <v>0.000225885569</v>
      </c>
      <c r="Q38" s="7">
        <f>H28*E21</f>
        <v>0.00005988034933</v>
      </c>
    </row>
    <row r="39">
      <c r="A39" s="2">
        <v>4.0</v>
      </c>
      <c r="B39" s="10">
        <f t="shared" si="23"/>
        <v>0.02551837325</v>
      </c>
      <c r="C39" s="10">
        <f t="shared" si="24"/>
        <v>0.02005744138</v>
      </c>
      <c r="D39" s="10"/>
      <c r="E39" s="10"/>
      <c r="F39" s="7">
        <f t="shared" ref="F39:H39" si="29">F29*F19</f>
        <v>0.0002930172922</v>
      </c>
      <c r="G39" s="7">
        <f t="shared" si="29"/>
        <v>0.00003290165596</v>
      </c>
      <c r="H39" s="7">
        <f t="shared" si="29"/>
        <v>0.000003232587698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0.0002930172922</v>
      </c>
      <c r="P39" s="7">
        <f>G29*F20</f>
        <v>0.00008877302861</v>
      </c>
      <c r="Q39" s="7">
        <f>H29*F21</f>
        <v>0.00002353297729</v>
      </c>
    </row>
    <row r="40">
      <c r="A40" s="2">
        <v>5.0</v>
      </c>
      <c r="B40" s="10">
        <f t="shared" si="23"/>
        <v>0.01803921176</v>
      </c>
      <c r="C40" s="10">
        <f t="shared" si="24"/>
        <v>0.01417882044</v>
      </c>
      <c r="D40" s="10"/>
      <c r="E40" s="10"/>
      <c r="F40" s="10"/>
      <c r="G40" s="7">
        <f t="shared" ref="G40:H40" si="30">G30*G20</f>
        <v>0.0000232585335</v>
      </c>
      <c r="H40" s="7">
        <f t="shared" si="30"/>
        <v>0.000002285150916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0.0000232585335</v>
      </c>
      <c r="Q40" s="7">
        <f>H30*G21</f>
        <v>0.000006165640049</v>
      </c>
    </row>
    <row r="41">
      <c r="A41" s="2">
        <v>6.0</v>
      </c>
      <c r="B41" s="10">
        <f t="shared" si="23"/>
        <v>0.009564084211</v>
      </c>
      <c r="C41" s="10">
        <f t="shared" si="24"/>
        <v>0.00751737019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1</v>
      </c>
      <c r="C1" s="1" t="s">
        <v>48</v>
      </c>
      <c r="D1" s="2" t="s">
        <v>2</v>
      </c>
      <c r="G1" s="2" t="str">
        <f t="shared" ref="G1:H1" si="1">B1</f>
        <v>union berlin</v>
      </c>
      <c r="H1" s="2" t="str">
        <f t="shared" si="1"/>
        <v>wolfsburg</v>
      </c>
      <c r="J1" s="3" t="str">
        <f>G1</f>
        <v>union berlin</v>
      </c>
      <c r="K1" s="3" t="s">
        <v>3</v>
      </c>
      <c r="L1" s="3" t="s">
        <v>4</v>
      </c>
      <c r="M1" s="3" t="s">
        <v>5</v>
      </c>
      <c r="N1" s="3" t="str">
        <f>H1</f>
        <v>wolfsburg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0.19786995367980875</v>
      </c>
      <c r="C2" s="1">
        <v>0.2836540264997701</v>
      </c>
      <c r="D2" s="2" t="s">
        <v>7</v>
      </c>
      <c r="E2" s="1">
        <v>2.5</v>
      </c>
      <c r="F2" s="2" t="s">
        <v>8</v>
      </c>
      <c r="G2" s="1">
        <v>2.25</v>
      </c>
      <c r="H2" s="1">
        <v>3.46</v>
      </c>
      <c r="J2" s="3"/>
      <c r="K2" s="4"/>
      <c r="L2" s="5">
        <v>2.4</v>
      </c>
      <c r="M2" s="6">
        <f t="shared" ref="M2:M11" si="3">IFERROR(-ln(1-(1/L2)),0)</f>
        <v>0.5389965007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1.620145264</v>
      </c>
      <c r="C3" s="7">
        <f t="shared" si="2"/>
        <v>1.26</v>
      </c>
      <c r="D3" s="2" t="s">
        <v>9</v>
      </c>
      <c r="E3" s="1">
        <v>1.82</v>
      </c>
      <c r="F3" s="2" t="s">
        <v>10</v>
      </c>
      <c r="G3" s="8">
        <f>1/(1/G2+SUM(D37:H40))</f>
        <v>2.159119978</v>
      </c>
      <c r="H3" s="8">
        <f>1/(1/H2+SUM(M37:Q40))</f>
        <v>3.233029259</v>
      </c>
      <c r="J3" s="3"/>
      <c r="K3" s="4"/>
      <c r="L3" s="5">
        <v>3.75</v>
      </c>
      <c r="M3" s="6">
        <f t="shared" si="3"/>
        <v>0.3101549283</v>
      </c>
      <c r="N3" s="3"/>
      <c r="O3" s="4"/>
      <c r="P3" s="5">
        <v>2.4</v>
      </c>
      <c r="Q3" s="6">
        <f t="shared" si="4"/>
        <v>0.5389965007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2.75</v>
      </c>
      <c r="Q4" s="6">
        <f t="shared" si="4"/>
        <v>0.4519851237</v>
      </c>
    </row>
    <row r="5">
      <c r="A5" s="2">
        <v>1.0</v>
      </c>
      <c r="B5" s="7">
        <f t="shared" ref="B5:C5" si="5">((B$3^$A5)/FACT($A5))*EXP(-B$3)</f>
        <v>0.3205780683</v>
      </c>
      <c r="C5" s="7">
        <f t="shared" si="5"/>
        <v>0.3574040734</v>
      </c>
      <c r="D5" s="2">
        <v>1.5</v>
      </c>
      <c r="E5" s="7">
        <f>1/(B2*(C2+C5)+B5*C2)</f>
        <v>4.591802606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0.2596915195</v>
      </c>
      <c r="C6" s="7">
        <f t="shared" si="6"/>
        <v>0.2251645662</v>
      </c>
      <c r="D6" s="2">
        <v>2.5</v>
      </c>
      <c r="E6" s="7">
        <f>1/(B2*(C2+C5+C6)+B5*(C2+C5)+B6*C2)</f>
        <v>2.219405297</v>
      </c>
      <c r="F6" s="2" t="s">
        <v>12</v>
      </c>
      <c r="J6" s="3"/>
      <c r="K6" s="4"/>
      <c r="L6" s="5">
        <v>3.5</v>
      </c>
      <c r="M6" s="6">
        <f t="shared" si="3"/>
        <v>0.3364722366</v>
      </c>
      <c r="N6" s="3"/>
      <c r="O6" s="4"/>
      <c r="P6" s="5">
        <v>11.0</v>
      </c>
      <c r="Q6" s="6">
        <f t="shared" si="4"/>
        <v>0.0953101798</v>
      </c>
    </row>
    <row r="7">
      <c r="A7" s="2">
        <v>3.0</v>
      </c>
      <c r="B7" s="7">
        <f t="shared" ref="B7:C7" si="7">((B$3^$A7)/FACT($A7))*EXP(-B$3)</f>
        <v>0.1402459951</v>
      </c>
      <c r="C7" s="7">
        <f t="shared" si="7"/>
        <v>0.09456911782</v>
      </c>
      <c r="D7" s="2">
        <v>3.5</v>
      </c>
      <c r="E7" s="7">
        <f>1/(B2*(C2+C5+C6+C7)+B5*(C2+C5+C6)+B6*(C2+C5)+B7*C2)</f>
        <v>1.483541939</v>
      </c>
      <c r="F7" s="7" t="str">
        <f>B1</f>
        <v>union berlin</v>
      </c>
      <c r="G7" s="2" t="s">
        <v>13</v>
      </c>
      <c r="H7" s="7" t="str">
        <f>C1</f>
        <v>wolfsburg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0.05680472118</v>
      </c>
      <c r="C8" s="7">
        <f t="shared" si="8"/>
        <v>0.02978927211</v>
      </c>
      <c r="D8" s="2">
        <v>4.5</v>
      </c>
      <c r="E8" s="7">
        <f>1/(B2*(C2+C5+C6+C7+C8)+B5*(C2+C5+C6+C7)+B6*(C2+C5+C6)+B7*(C2+C5)+B8*C2)</f>
        <v>1.197627164</v>
      </c>
      <c r="F8" s="7">
        <f>B5*C2+B6*(C5+C2)+B7*(C6+C5+C2)+B8*(C7+C6+C5+C2)+B9*(C8+C7+C6+C5+C2)+B10*(C9+C8+C7+C6+C5+C2)+B11*(C10+C9+C8+C7+C6+C5+C2)+B12*(C11+C10+C9+C8+C7+C6+C5+C2)</f>
        <v>0.4580489666</v>
      </c>
      <c r="G8" s="7">
        <f>B2*C2+B5*C5+B6*C6+B7*C7+B8*C8+B9*C9+B10*C10+B11*C11+B12*C12</f>
        <v>0.244277303</v>
      </c>
      <c r="H8" s="7">
        <f>C5*B2+C6*(B5+B2)+C7*(B6+B5+B2)+C8*(B7+B6+B5+B2)+C9*(B8+B7+B6+B5+B2)+C10*(B9+B8+B7+B6+B5+B2)+C11*(B10+B9+B7+B8+B6+B5+B2)</f>
        <v>0.2975720182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10.5</v>
      </c>
      <c r="Q8" s="6">
        <f t="shared" si="4"/>
        <v>0.1000834586</v>
      </c>
    </row>
    <row r="9">
      <c r="A9" s="2">
        <v>5.0</v>
      </c>
      <c r="B9" s="7">
        <f t="shared" ref="B9:C9" si="9">((B$3^$A9)/FACT($A9))*EXP(-B$3)</f>
        <v>0.01840637999</v>
      </c>
      <c r="C9" s="7">
        <f t="shared" si="9"/>
        <v>0.007506896572</v>
      </c>
      <c r="F9" s="9">
        <f t="shared" ref="F9:H9" si="10">1/F8</f>
        <v>2.183172702</v>
      </c>
      <c r="G9" s="9">
        <f t="shared" si="10"/>
        <v>4.093708206</v>
      </c>
      <c r="H9" s="9">
        <f t="shared" si="10"/>
        <v>3.360531028</v>
      </c>
      <c r="J9" s="3"/>
      <c r="K9" s="4"/>
      <c r="L9" s="5">
        <v>5.0</v>
      </c>
      <c r="M9" s="6">
        <f t="shared" si="3"/>
        <v>0.2231435513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0.004970168228</v>
      </c>
      <c r="C10" s="7">
        <f t="shared" si="11"/>
        <v>0.00157644828</v>
      </c>
      <c r="J10" s="3"/>
      <c r="K10" s="4"/>
      <c r="L10" s="5">
        <v>12.0</v>
      </c>
      <c r="M10" s="6">
        <f t="shared" si="3"/>
        <v>0.08701137699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0.001150342073</v>
      </c>
      <c r="C11" s="7">
        <f t="shared" si="12"/>
        <v>0.0002837606904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12.5</v>
      </c>
      <c r="Q11" s="6">
        <f t="shared" si="4"/>
        <v>0.08338160894</v>
      </c>
    </row>
    <row r="12">
      <c r="A12" s="2">
        <v>8.0</v>
      </c>
      <c r="B12" s="7">
        <f t="shared" ref="B12:C12" si="13">((B$3^$A12)/FACT($A12))*EXP(-B$3)</f>
        <v>0.0002329651577</v>
      </c>
      <c r="C12" s="7">
        <f t="shared" si="13"/>
        <v>0.00004469230874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wolfsburg</v>
      </c>
      <c r="J13" s="3"/>
      <c r="K13" s="3"/>
      <c r="L13" s="3" t="s">
        <v>14</v>
      </c>
      <c r="M13" s="6">
        <f>SUM(M2:M11)</f>
        <v>2.209128482</v>
      </c>
      <c r="N13" s="3"/>
      <c r="O13" s="3"/>
      <c r="P13" s="3" t="s">
        <v>14</v>
      </c>
      <c r="Q13" s="6">
        <f>SUM(Q2:Q11)</f>
        <v>2.1726337</v>
      </c>
    </row>
    <row r="14">
      <c r="A14" s="7" t="str">
        <f>B1</f>
        <v>union berlin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1.829980682</v>
      </c>
      <c r="N14" s="3"/>
      <c r="O14" s="3"/>
      <c r="P14" s="3" t="s">
        <v>15</v>
      </c>
      <c r="Q14" s="6">
        <f>SUM(Q2:Q8)</f>
        <v>1.951266348</v>
      </c>
    </row>
    <row r="15">
      <c r="A15" s="2">
        <v>0.0</v>
      </c>
      <c r="B15" s="7">
        <f>B2*$C$2</f>
        <v>0.05612660908</v>
      </c>
      <c r="C15" s="7">
        <f>C5*B2</f>
        <v>0.07071952745</v>
      </c>
      <c r="D15" s="7">
        <f>C6*B2</f>
        <v>0.04455330229</v>
      </c>
      <c r="E15" s="7">
        <f>C7*B2</f>
        <v>0.01871238696</v>
      </c>
      <c r="F15" s="7">
        <f>C8*B2</f>
        <v>0.005894401893</v>
      </c>
      <c r="G15" s="7">
        <f>C9*B2</f>
        <v>0.001485389277</v>
      </c>
      <c r="H15" s="7">
        <f>$C$10*B2</f>
        <v>0.0003119317482</v>
      </c>
    </row>
    <row r="16">
      <c r="A16" s="2">
        <v>1.0</v>
      </c>
      <c r="B16" s="7">
        <f t="shared" ref="B16:B21" si="14">B5*$C$2</f>
        <v>0.09093325987</v>
      </c>
      <c r="C16" s="7">
        <f t="shared" ref="C16:C21" si="15">$C$5*B5</f>
        <v>0.1145759074</v>
      </c>
      <c r="D16" s="7">
        <f t="shared" ref="D16:D21" si="16">$C$6*B5</f>
        <v>0.07218282169</v>
      </c>
      <c r="E16" s="7">
        <f t="shared" ref="E16:E21" si="17">$C$7*B5</f>
        <v>0.03031678511</v>
      </c>
      <c r="F16" s="7">
        <f t="shared" ref="F16:F21" si="18">$C$8*B5</f>
        <v>0.009549787309</v>
      </c>
      <c r="G16" s="7">
        <f t="shared" ref="G16:G21" si="19">$C$9*B5</f>
        <v>0.002406546402</v>
      </c>
      <c r="H16" s="7">
        <f t="shared" ref="H16:H21" si="20">$C$10*B5</f>
        <v>0.0005053747444</v>
      </c>
    </row>
    <row r="17">
      <c r="A17" s="2">
        <v>2.0</v>
      </c>
      <c r="B17" s="7">
        <f t="shared" si="14"/>
        <v>0.07366254515</v>
      </c>
      <c r="C17" s="7">
        <f t="shared" si="15"/>
        <v>0.09281480689</v>
      </c>
      <c r="D17" s="7">
        <f t="shared" si="16"/>
        <v>0.05847332834</v>
      </c>
      <c r="E17" s="7">
        <f t="shared" si="17"/>
        <v>0.0245587979</v>
      </c>
      <c r="F17" s="7">
        <f t="shared" si="18"/>
        <v>0.007736021339</v>
      </c>
      <c r="G17" s="7">
        <f t="shared" si="19"/>
        <v>0.001949477377</v>
      </c>
      <c r="H17" s="7">
        <f t="shared" si="20"/>
        <v>0.0004093902493</v>
      </c>
    </row>
    <row r="18">
      <c r="A18" s="2">
        <v>3.0</v>
      </c>
      <c r="B18" s="7">
        <f t="shared" si="14"/>
        <v>0.03978134121</v>
      </c>
      <c r="C18" s="7">
        <f t="shared" si="15"/>
        <v>0.05012448993</v>
      </c>
      <c r="D18" s="7">
        <f t="shared" si="16"/>
        <v>0.03157842865</v>
      </c>
      <c r="E18" s="7">
        <f t="shared" si="17"/>
        <v>0.01326294003</v>
      </c>
      <c r="F18" s="7">
        <f t="shared" si="18"/>
        <v>0.004177826111</v>
      </c>
      <c r="G18" s="7">
        <f t="shared" si="19"/>
        <v>0.00105281218</v>
      </c>
      <c r="H18" s="7">
        <f t="shared" si="20"/>
        <v>0.0002210905578</v>
      </c>
    </row>
    <row r="19">
      <c r="A19" s="2">
        <v>4.0</v>
      </c>
      <c r="B19" s="7">
        <f t="shared" si="14"/>
        <v>0.01611288789</v>
      </c>
      <c r="C19" s="7">
        <f t="shared" si="15"/>
        <v>0.02030223874</v>
      </c>
      <c r="D19" s="7">
        <f t="shared" si="16"/>
        <v>0.0127904104</v>
      </c>
      <c r="E19" s="7">
        <f t="shared" si="17"/>
        <v>0.00537197237</v>
      </c>
      <c r="F19" s="7">
        <f t="shared" si="18"/>
        <v>0.001692171296</v>
      </c>
      <c r="G19" s="7">
        <f t="shared" si="19"/>
        <v>0.0004264271667</v>
      </c>
      <c r="H19" s="7">
        <f t="shared" si="20"/>
        <v>0.00008954970501</v>
      </c>
    </row>
    <row r="20">
      <c r="A20" s="2">
        <v>5.0</v>
      </c>
      <c r="B20" s="7">
        <f t="shared" si="14"/>
        <v>0.005221043799</v>
      </c>
      <c r="C20" s="7">
        <f t="shared" si="15"/>
        <v>0.006578515186</v>
      </c>
      <c r="D20" s="7">
        <f t="shared" si="16"/>
        <v>0.004144464567</v>
      </c>
      <c r="E20" s="7">
        <f t="shared" si="17"/>
        <v>0.001740675118</v>
      </c>
      <c r="F20" s="7">
        <f t="shared" si="18"/>
        <v>0.0005483126623</v>
      </c>
      <c r="G20" s="7">
        <f t="shared" si="19"/>
        <v>0.0001381747909</v>
      </c>
      <c r="H20" s="7">
        <f t="shared" si="20"/>
        <v>0.00002901670609</v>
      </c>
    </row>
    <row r="21">
      <c r="A21" s="2">
        <v>6.0</v>
      </c>
      <c r="B21" s="7">
        <f t="shared" si="14"/>
        <v>0.00140980823</v>
      </c>
      <c r="C21" s="7">
        <f t="shared" si="15"/>
        <v>0.00177635837</v>
      </c>
      <c r="D21" s="7">
        <f t="shared" si="16"/>
        <v>0.001119105773</v>
      </c>
      <c r="E21" s="7">
        <f t="shared" si="17"/>
        <v>0.0004700244247</v>
      </c>
      <c r="F21" s="7">
        <f t="shared" si="18"/>
        <v>0.0001480576938</v>
      </c>
      <c r="G21" s="7">
        <f t="shared" si="19"/>
        <v>0.00003731053884</v>
      </c>
      <c r="H21" s="7">
        <f t="shared" si="20"/>
        <v>0.000007835213156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0.00006608150503</v>
      </c>
      <c r="C25" s="10">
        <f>C15*B12</f>
        <v>0.00001647518587</v>
      </c>
      <c r="D25" s="10">
        <f>C16*B12</f>
        <v>0.00002669219435</v>
      </c>
      <c r="E25" s="10">
        <f>C17*B12</f>
        <v>0.00002162261613</v>
      </c>
      <c r="F25" s="10">
        <f>C18*B12</f>
        <v>0.0000116772597</v>
      </c>
      <c r="G25" s="10">
        <f>C19*B12</f>
        <v>0.00000472971425</v>
      </c>
      <c r="H25" s="10">
        <f>$C$10*B12</f>
        <v>0.0000003672575223</v>
      </c>
    </row>
    <row r="26">
      <c r="A26" s="2">
        <v>1.0</v>
      </c>
      <c r="B26" s="10">
        <f t="shared" ref="B26:B31" si="21">B15*$C$2</f>
        <v>0.01592053866</v>
      </c>
      <c r="C26" s="10">
        <f t="shared" ref="C26:C31" si="22">$C$5*B15</f>
        <v>0.02005987871</v>
      </c>
      <c r="D26" s="10">
        <f>$C$6*B15</f>
        <v>0.01263772359</v>
      </c>
      <c r="E26" s="10">
        <f>$C$7*B15</f>
        <v>0.005307843907</v>
      </c>
      <c r="F26" s="10">
        <f>$C$8*B15</f>
        <v>0.001671970831</v>
      </c>
      <c r="G26" s="10">
        <f>$C$9*B15</f>
        <v>0.0004213366494</v>
      </c>
      <c r="H26" s="10">
        <f>$C$10*B15</f>
        <v>0.00008848069637</v>
      </c>
    </row>
    <row r="27">
      <c r="A27" s="2">
        <v>2.0</v>
      </c>
      <c r="B27" s="10">
        <f t="shared" si="21"/>
        <v>0.02579358531</v>
      </c>
      <c r="C27" s="10">
        <f t="shared" si="22"/>
        <v>0.03249991749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0.02089467753</v>
      </c>
      <c r="C28" s="10">
        <f t="shared" si="22"/>
        <v>0.02632729369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0.01128413761</v>
      </c>
      <c r="C29" s="10">
        <f t="shared" si="22"/>
        <v>0.01421801339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0.004570485527</v>
      </c>
      <c r="C30" s="10">
        <f t="shared" si="22"/>
        <v>0.005758811765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0.001480970096</v>
      </c>
      <c r="C31" s="10">
        <f t="shared" si="22"/>
        <v>0.001866022321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union berlin</v>
      </c>
      <c r="J33" s="2" t="s">
        <v>17</v>
      </c>
      <c r="K33" s="7" t="str">
        <f>B13</f>
        <v>wolfsburg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0.00001874428498</v>
      </c>
      <c r="C36" s="10">
        <f t="shared" ref="C36:C41" si="24">$C$5*B25</f>
        <v>0.00002361779907</v>
      </c>
      <c r="D36" s="10">
        <f>$C$6*B25</f>
        <v>0.00001487921342</v>
      </c>
      <c r="E36" s="10">
        <f>$C$7*B25</f>
        <v>0.000006249269635</v>
      </c>
      <c r="F36" s="10">
        <f>$C$8*B25</f>
        <v>0.000001968519935</v>
      </c>
      <c r="G36" s="10">
        <f>$C$9*B25</f>
        <v>0.0000004960670236</v>
      </c>
      <c r="H36" s="10">
        <f>$C$10*B25</f>
        <v>0.000000104174075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0.004515924895</v>
      </c>
      <c r="C37" s="10">
        <f t="shared" si="24"/>
        <v>0.005690065368</v>
      </c>
      <c r="D37" s="7">
        <f t="shared" ref="D37:H37" si="25">D27*D17</f>
        <v>0.009745554723</v>
      </c>
      <c r="E37" s="7">
        <f t="shared" si="25"/>
        <v>0.00245587979</v>
      </c>
      <c r="F37" s="7">
        <f t="shared" si="25"/>
        <v>0.0005157347559</v>
      </c>
      <c r="G37" s="7">
        <f t="shared" si="25"/>
        <v>0.00009283225607</v>
      </c>
      <c r="H37" s="7">
        <f t="shared" si="25"/>
        <v>0.00001462108033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0.009745554723</v>
      </c>
      <c r="N37" s="7">
        <f>E27*D18</f>
        <v>0.003157842865</v>
      </c>
      <c r="O37" s="7">
        <f>F27*D19</f>
        <v>0.0008526940269</v>
      </c>
      <c r="P37" s="7">
        <f>G27*D20</f>
        <v>0.0001973554556</v>
      </c>
      <c r="Q37" s="7">
        <f>H27*D21</f>
        <v>0.00003996806333</v>
      </c>
    </row>
    <row r="38">
      <c r="A38" s="2">
        <v>3.0</v>
      </c>
      <c r="B38" s="10">
        <f t="shared" si="23"/>
        <v>0.00731645433</v>
      </c>
      <c r="C38" s="10">
        <f t="shared" si="24"/>
        <v>0.009218732456</v>
      </c>
      <c r="D38" s="10"/>
      <c r="E38" s="7">
        <f t="shared" ref="E38:H38" si="28">E28*E18</f>
        <v>0.00397888201</v>
      </c>
      <c r="F38" s="7">
        <f t="shared" si="28"/>
        <v>0.0008355652222</v>
      </c>
      <c r="G38" s="7">
        <f t="shared" si="28"/>
        <v>0.00015040174</v>
      </c>
      <c r="H38" s="7">
        <f t="shared" si="28"/>
        <v>0.00002368827405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0.00397888201</v>
      </c>
      <c r="O38" s="7">
        <f>F28*E19</f>
        <v>0.001074394474</v>
      </c>
      <c r="P38" s="7">
        <f>G28*E20</f>
        <v>0.000248667874</v>
      </c>
      <c r="Q38" s="7">
        <f>H28*E21</f>
        <v>0.00005035975979</v>
      </c>
    </row>
    <row r="39">
      <c r="A39" s="2">
        <v>4.0</v>
      </c>
      <c r="B39" s="10">
        <f t="shared" si="23"/>
        <v>0.005926859415</v>
      </c>
      <c r="C39" s="10">
        <f t="shared" si="24"/>
        <v>0.007467842863</v>
      </c>
      <c r="D39" s="10"/>
      <c r="E39" s="10"/>
      <c r="F39" s="7">
        <f t="shared" ref="F39:H39" si="29">F29*F19</f>
        <v>0.0006768685186</v>
      </c>
      <c r="G39" s="7">
        <f t="shared" si="29"/>
        <v>0.0001218363333</v>
      </c>
      <c r="H39" s="7">
        <f t="shared" si="29"/>
        <v>0.0000191892225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0.0006768685186</v>
      </c>
      <c r="P39" s="7">
        <f>G29*F20</f>
        <v>0.0001566607606</v>
      </c>
      <c r="Q39" s="7">
        <f>H29*F21</f>
        <v>0.00003172664867</v>
      </c>
    </row>
    <row r="40">
      <c r="A40" s="2">
        <v>5.0</v>
      </c>
      <c r="B40" s="10">
        <f t="shared" si="23"/>
        <v>0.00320079107</v>
      </c>
      <c r="C40" s="10">
        <f t="shared" si="24"/>
        <v>0.004032996748</v>
      </c>
      <c r="D40" s="10"/>
      <c r="E40" s="10"/>
      <c r="F40" s="10"/>
      <c r="G40" s="7">
        <f t="shared" ref="G40:H40" si="30">G30*G20</f>
        <v>0.00006579751947</v>
      </c>
      <c r="H40" s="7">
        <f t="shared" si="30"/>
        <v>0.00001036310932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0.00006579751947</v>
      </c>
      <c r="Q40" s="7">
        <f>H30*G21</f>
        <v>0.00001332519244</v>
      </c>
    </row>
    <row r="41">
      <c r="A41" s="2">
        <v>6.0</v>
      </c>
      <c r="B41" s="10">
        <f t="shared" si="23"/>
        <v>0.001296436623</v>
      </c>
      <c r="C41" s="10">
        <f t="shared" si="24"/>
        <v>0.001633510145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49</v>
      </c>
      <c r="C1" s="1" t="s">
        <v>50</v>
      </c>
      <c r="D1" s="2" t="s">
        <v>2</v>
      </c>
      <c r="G1" s="7" t="str">
        <f t="shared" ref="G1:H1" si="1">B1</f>
        <v>newcastle</v>
      </c>
      <c r="H1" s="7" t="str">
        <f t="shared" si="1"/>
        <v>bournemouth</v>
      </c>
      <c r="J1" s="3" t="str">
        <f>G1</f>
        <v>newcastle</v>
      </c>
      <c r="K1" s="3" t="s">
        <v>3</v>
      </c>
      <c r="L1" s="3" t="s">
        <v>4</v>
      </c>
      <c r="M1" s="3" t="s">
        <v>5</v>
      </c>
      <c r="N1" s="3" t="str">
        <f>H1</f>
        <v>bournemouth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0.1710105498596491</v>
      </c>
      <c r="C2" s="1">
        <v>0.2240244682127415</v>
      </c>
      <c r="D2" s="2" t="s">
        <v>7</v>
      </c>
      <c r="E2" s="1">
        <v>2.5</v>
      </c>
      <c r="F2" s="2" t="s">
        <v>8</v>
      </c>
      <c r="G2" s="1">
        <v>2.355</v>
      </c>
      <c r="H2" s="1">
        <v>3.18</v>
      </c>
      <c r="J2" s="3"/>
      <c r="K2" s="4"/>
      <c r="L2" s="5">
        <v>2.4</v>
      </c>
      <c r="M2" s="6">
        <f t="shared" ref="M2:M11" si="3">IFERROR(-ln(1-(1/L2)),0)</f>
        <v>0.5389965007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1.766030029</v>
      </c>
      <c r="C3" s="7">
        <f t="shared" si="2"/>
        <v>1.496</v>
      </c>
      <c r="D3" s="2" t="s">
        <v>9</v>
      </c>
      <c r="E3" s="1">
        <v>1.58</v>
      </c>
      <c r="F3" s="2" t="s">
        <v>10</v>
      </c>
      <c r="G3" s="8">
        <f>1/(1/G2+SUM(D37:H40))</f>
        <v>2.223740979</v>
      </c>
      <c r="H3" s="8">
        <f>1/(1/H2+SUM(M37:Q40))</f>
        <v>2.931634998</v>
      </c>
      <c r="J3" s="3"/>
      <c r="K3" s="4"/>
      <c r="L3" s="5">
        <v>3.75</v>
      </c>
      <c r="M3" s="6">
        <f t="shared" si="3"/>
        <v>0.3101549283</v>
      </c>
      <c r="N3" s="3"/>
      <c r="O3" s="4"/>
      <c r="P3" s="5">
        <v>2.4</v>
      </c>
      <c r="Q3" s="6">
        <f t="shared" si="4"/>
        <v>0.5389965007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2.75</v>
      </c>
      <c r="Q4" s="6">
        <f t="shared" si="4"/>
        <v>0.4519851237</v>
      </c>
    </row>
    <row r="5">
      <c r="A5" s="2">
        <v>1.0</v>
      </c>
      <c r="B5" s="7">
        <f t="shared" ref="B5:C5" si="5">((B$3^$A5)/FACT($A5))*EXP(-B$3)</f>
        <v>0.3020097664</v>
      </c>
      <c r="C5" s="7">
        <f t="shared" si="5"/>
        <v>0.3351406044</v>
      </c>
      <c r="D5" s="2">
        <v>1.5</v>
      </c>
      <c r="E5" s="7">
        <f>1/(B2*(C2+C5)+B5*C2)</f>
        <v>6.124422399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0.2666791583</v>
      </c>
      <c r="C6" s="7">
        <f t="shared" si="6"/>
        <v>0.2506851721</v>
      </c>
      <c r="D6" s="2">
        <v>2.5</v>
      </c>
      <c r="E6" s="7">
        <f>1/(B2*(C2+C5+C6)+B5*(C2+C5)+B6*C2)</f>
        <v>2.723987312</v>
      </c>
      <c r="F6" s="2" t="s">
        <v>12</v>
      </c>
      <c r="J6" s="3"/>
      <c r="K6" s="4"/>
      <c r="L6" s="5">
        <v>3.5</v>
      </c>
      <c r="M6" s="6">
        <f t="shared" si="3"/>
        <v>0.3364722366</v>
      </c>
      <c r="N6" s="3"/>
      <c r="O6" s="4"/>
      <c r="P6" s="5">
        <v>11.0</v>
      </c>
      <c r="Q6" s="6">
        <f t="shared" si="4"/>
        <v>0.0953101798</v>
      </c>
    </row>
    <row r="7">
      <c r="A7" s="2">
        <v>3.0</v>
      </c>
      <c r="B7" s="7">
        <f t="shared" ref="B7:C7" si="7">((B$3^$A7)/FACT($A7))*EXP(-B$3)</f>
        <v>0.1569878006</v>
      </c>
      <c r="C7" s="7">
        <f t="shared" si="7"/>
        <v>0.1250083392</v>
      </c>
      <c r="D7" s="2">
        <v>3.5</v>
      </c>
      <c r="E7" s="7">
        <f>1/(B2*(C2+C5+C6+C7)+B5*(C2+C5+C6)+B6*(C2+C5)+B7*C2)</f>
        <v>1.698542237</v>
      </c>
      <c r="F7" s="7" t="str">
        <f>B1</f>
        <v>newcastle</v>
      </c>
      <c r="G7" s="2" t="s">
        <v>13</v>
      </c>
      <c r="H7" s="7" t="str">
        <f>C1</f>
        <v>bournemouth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0.06931129251</v>
      </c>
      <c r="C8" s="7">
        <f t="shared" si="8"/>
        <v>0.04675311885</v>
      </c>
      <c r="D8" s="2">
        <v>4.5</v>
      </c>
      <c r="E8" s="7">
        <f>1/(B2*(C2+C5+C6+C7+C8)+B5*(C2+C5+C6+C7)+B6*(C2+C5+C6)+B7*(C2+C5)+B8*C2)</f>
        <v>1.299575421</v>
      </c>
      <c r="F8" s="7">
        <f>B5*C2+B6*(C5+C2)+B7*(C6+C5+C2)+B8*(C7+C6+C5+C2)+B9*(C8+C7+C6+C5+C2)+B10*(C9+C8+C7+C6+C5+C2)+B11*(C10+C9+C8+C7+C6+C5+C2)+B12*(C11+C10+C9+C8+C7+C6+C5+C2)</f>
        <v>0.4421306827</v>
      </c>
      <c r="G8" s="7">
        <f>B2*C2+B5*C5+B6*C6+B7*C7+B8*C8+B9*C9+B10*C10+B11*C11+B12*C12</f>
        <v>0.229613096</v>
      </c>
      <c r="H8" s="7">
        <f>C5*B2+C6*(B5+B2)+C7*(B6+B5+B2)+C8*(B7+B6+B5+B2)+C9*(B8+B7+B6+B5+B2)+C10*(B9+B8+B7+B6+B5+B2)+C11*(B10+B9+B7+B8+B6+B5+B2)</f>
        <v>0.3279944628</v>
      </c>
      <c r="J8" s="3"/>
      <c r="K8" s="4"/>
      <c r="L8" s="5">
        <v>6.0</v>
      </c>
      <c r="M8" s="6">
        <f t="shared" si="3"/>
        <v>0.1823215568</v>
      </c>
      <c r="N8" s="3"/>
      <c r="O8" s="4"/>
      <c r="P8" s="5">
        <v>10.5</v>
      </c>
      <c r="Q8" s="6">
        <f t="shared" si="4"/>
        <v>0.1000834586</v>
      </c>
    </row>
    <row r="9">
      <c r="A9" s="2">
        <v>5.0</v>
      </c>
      <c r="B9" s="7">
        <f t="shared" ref="B9:C9" si="9">((B$3^$A9)/FACT($A9))*EXP(-B$3)</f>
        <v>0.02448116479</v>
      </c>
      <c r="C9" s="7">
        <f t="shared" si="9"/>
        <v>0.01398853316</v>
      </c>
      <c r="F9" s="9">
        <f t="shared" ref="F9:H9" si="10">1/F8</f>
        <v>2.261774718</v>
      </c>
      <c r="G9" s="9">
        <f t="shared" si="10"/>
        <v>4.355152286</v>
      </c>
      <c r="H9" s="9">
        <f t="shared" si="10"/>
        <v>3.048831957</v>
      </c>
      <c r="J9" s="3"/>
      <c r="K9" s="4"/>
      <c r="L9" s="5">
        <v>5.0</v>
      </c>
      <c r="M9" s="6">
        <f t="shared" si="3"/>
        <v>0.2231435513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0.007205745361</v>
      </c>
      <c r="C10" s="7">
        <f t="shared" si="11"/>
        <v>0.003487807601</v>
      </c>
      <c r="J10" s="3"/>
      <c r="K10" s="4"/>
      <c r="L10" s="5">
        <v>12.0</v>
      </c>
      <c r="M10" s="6">
        <f t="shared" si="3"/>
        <v>0.08701137699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0.001817937527</v>
      </c>
      <c r="C11" s="7">
        <f t="shared" si="12"/>
        <v>0.0007453943102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12.5</v>
      </c>
      <c r="Q11" s="6">
        <f t="shared" si="4"/>
        <v>0.08338160894</v>
      </c>
    </row>
    <row r="12">
      <c r="A12" s="2">
        <v>8.0</v>
      </c>
      <c r="B12" s="7">
        <f t="shared" ref="B12:C12" si="13">((B$3^$A12)/FACT($A12))*EXP(-B$3)</f>
        <v>0.0004013165331</v>
      </c>
      <c r="C12" s="7">
        <f t="shared" si="13"/>
        <v>0.000139388736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bournemouth</v>
      </c>
      <c r="J13" s="3"/>
      <c r="K13" s="3"/>
      <c r="L13" s="3" t="s">
        <v>14</v>
      </c>
      <c r="M13" s="6">
        <f>SUM(M2:M11)</f>
        <v>2.209128482</v>
      </c>
      <c r="N13" s="3"/>
      <c r="O13" s="3"/>
      <c r="P13" s="3" t="s">
        <v>14</v>
      </c>
      <c r="Q13" s="6">
        <f>SUM(Q2:Q11)</f>
        <v>2.1726337</v>
      </c>
    </row>
    <row r="14">
      <c r="A14" s="7" t="str">
        <f>B1</f>
        <v>newcastle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1.829980682</v>
      </c>
      <c r="N14" s="3"/>
      <c r="O14" s="3"/>
      <c r="P14" s="3" t="s">
        <v>15</v>
      </c>
      <c r="Q14" s="6">
        <f>SUM(Q2:Q8)</f>
        <v>1.951266348</v>
      </c>
    </row>
    <row r="15">
      <c r="A15" s="2">
        <v>0.0</v>
      </c>
      <c r="B15" s="7">
        <f>B2*$C$2</f>
        <v>0.03831054749</v>
      </c>
      <c r="C15" s="7">
        <f>C5*B2</f>
        <v>0.05731257905</v>
      </c>
      <c r="D15" s="7">
        <f>C6*B2</f>
        <v>0.04286980913</v>
      </c>
      <c r="E15" s="7">
        <f>C7*B2</f>
        <v>0.02137774482</v>
      </c>
      <c r="F15" s="7">
        <f>C8*B2</f>
        <v>0.007995276562</v>
      </c>
      <c r="G15" s="7">
        <f>C9*B2</f>
        <v>0.002392186747</v>
      </c>
      <c r="H15" s="7">
        <f>$C$10*B2</f>
        <v>0.0005964518957</v>
      </c>
    </row>
    <row r="16">
      <c r="A16" s="2">
        <v>1.0</v>
      </c>
      <c r="B16" s="7">
        <f t="shared" ref="B16:B21" si="14">B5*$C$2</f>
        <v>0.06765757731</v>
      </c>
      <c r="C16" s="7">
        <f t="shared" ref="C16:C21" si="15">$C$5*B5</f>
        <v>0.1012157357</v>
      </c>
      <c r="D16" s="7">
        <f t="shared" ref="D16:D21" si="16">$C$6*B5</f>
        <v>0.07570937027</v>
      </c>
      <c r="E16" s="7">
        <f t="shared" ref="E16:E21" si="17">$C$7*B5</f>
        <v>0.03775373931</v>
      </c>
      <c r="F16" s="7">
        <f t="shared" ref="F16:F21" si="18">$C$8*B5</f>
        <v>0.0141198985</v>
      </c>
      <c r="G16" s="7">
        <f t="shared" ref="G16:G21" si="19">$C$9*B5</f>
        <v>0.004224673631</v>
      </c>
      <c r="H16" s="7">
        <f t="shared" ref="H16:H21" si="20">$C$10*B5</f>
        <v>0.001053351959</v>
      </c>
    </row>
    <row r="17">
      <c r="A17" s="2">
        <v>2.0</v>
      </c>
      <c r="B17" s="7">
        <f t="shared" si="14"/>
        <v>0.05974265662</v>
      </c>
      <c r="C17" s="7">
        <f t="shared" si="15"/>
        <v>0.0893750143</v>
      </c>
      <c r="D17" s="7">
        <f t="shared" si="16"/>
        <v>0.0668525107</v>
      </c>
      <c r="E17" s="7">
        <f t="shared" si="17"/>
        <v>0.03333711867</v>
      </c>
      <c r="F17" s="7">
        <f t="shared" si="18"/>
        <v>0.01246808238</v>
      </c>
      <c r="G17" s="7">
        <f t="shared" si="19"/>
        <v>0.003730450249</v>
      </c>
      <c r="H17" s="7">
        <f t="shared" si="20"/>
        <v>0.0009301255953</v>
      </c>
    </row>
    <row r="18">
      <c r="A18" s="2">
        <v>3.0</v>
      </c>
      <c r="B18" s="7">
        <f t="shared" si="14"/>
        <v>0.03516910854</v>
      </c>
      <c r="C18" s="7">
        <f t="shared" si="15"/>
        <v>0.05261298637</v>
      </c>
      <c r="D18" s="7">
        <f t="shared" si="16"/>
        <v>0.03935451381</v>
      </c>
      <c r="E18" s="7">
        <f t="shared" si="17"/>
        <v>0.01962478422</v>
      </c>
      <c r="F18" s="7">
        <f t="shared" si="18"/>
        <v>0.007339669298</v>
      </c>
      <c r="G18" s="7">
        <f t="shared" si="19"/>
        <v>0.002196029054</v>
      </c>
      <c r="H18" s="7">
        <f t="shared" si="20"/>
        <v>0.0005475432441</v>
      </c>
    </row>
    <row r="19">
      <c r="A19" s="2">
        <v>4.0</v>
      </c>
      <c r="B19" s="7">
        <f t="shared" si="14"/>
        <v>0.01552742545</v>
      </c>
      <c r="C19" s="7">
        <f t="shared" si="15"/>
        <v>0.02322902847</v>
      </c>
      <c r="D19" s="7">
        <f t="shared" si="16"/>
        <v>0.01737531329</v>
      </c>
      <c r="E19" s="7">
        <f t="shared" si="17"/>
        <v>0.008664489562</v>
      </c>
      <c r="F19" s="7">
        <f t="shared" si="18"/>
        <v>0.003240519096</v>
      </c>
      <c r="G19" s="7">
        <f t="shared" si="19"/>
        <v>0.0009695633136</v>
      </c>
      <c r="H19" s="7">
        <f t="shared" si="20"/>
        <v>0.0002417444529</v>
      </c>
    </row>
    <row r="20">
      <c r="A20" s="2">
        <v>5.0</v>
      </c>
      <c r="B20" s="7">
        <f t="shared" si="14"/>
        <v>0.005484379923</v>
      </c>
      <c r="C20" s="7">
        <f t="shared" si="15"/>
        <v>0.008204632365</v>
      </c>
      <c r="D20" s="7">
        <f t="shared" si="16"/>
        <v>0.006137065009</v>
      </c>
      <c r="E20" s="7">
        <f t="shared" si="17"/>
        <v>0.003060349751</v>
      </c>
      <c r="F20" s="7">
        <f t="shared" si="18"/>
        <v>0.001144570807</v>
      </c>
      <c r="G20" s="7">
        <f t="shared" si="19"/>
        <v>0.0003424555854</v>
      </c>
      <c r="H20" s="7">
        <f t="shared" si="20"/>
        <v>0.00008538559263</v>
      </c>
    </row>
    <row r="21">
      <c r="A21" s="2">
        <v>6.0</v>
      </c>
      <c r="B21" s="7">
        <f t="shared" si="14"/>
        <v>0.001614263273</v>
      </c>
      <c r="C21" s="7">
        <f t="shared" si="15"/>
        <v>0.002414937856</v>
      </c>
      <c r="D21" s="7">
        <f t="shared" si="16"/>
        <v>0.001806373516</v>
      </c>
      <c r="E21" s="7">
        <f t="shared" si="17"/>
        <v>0.0009007782601</v>
      </c>
      <c r="F21" s="7">
        <f t="shared" si="18"/>
        <v>0.0003368910693</v>
      </c>
      <c r="G21" s="7">
        <f t="shared" si="19"/>
        <v>0.0001007978079</v>
      </c>
      <c r="H21" s="7">
        <f t="shared" si="20"/>
        <v>0.00002513225344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0.00008990472291</v>
      </c>
      <c r="C25" s="10">
        <f>C15*B12</f>
        <v>0.00002300048553</v>
      </c>
      <c r="D25" s="10">
        <f>C16*B12</f>
        <v>0.00004061954813</v>
      </c>
      <c r="E25" s="10">
        <f>C17*B12</f>
        <v>0.00003586767088</v>
      </c>
      <c r="F25" s="10">
        <f>C18*B12</f>
        <v>0.00002111446129</v>
      </c>
      <c r="G25" s="10">
        <f>C19*B12</f>
        <v>0.000009322193172</v>
      </c>
      <c r="H25" s="10">
        <f>$C$10*B12</f>
        <v>0.000001399714855</v>
      </c>
    </row>
    <row r="26">
      <c r="A26" s="2">
        <v>1.0</v>
      </c>
      <c r="B26" s="10">
        <f t="shared" ref="B26:B31" si="21">B15*$C$2</f>
        <v>0.008582500029</v>
      </c>
      <c r="C26" s="10">
        <f t="shared" ref="C26:C31" si="22">$C$5*B15</f>
        <v>0.01283942004</v>
      </c>
      <c r="D26" s="10">
        <f>$C$6*B15</f>
        <v>0.009603886192</v>
      </c>
      <c r="E26" s="10">
        <f>$C$7*B15</f>
        <v>0.004789137914</v>
      </c>
      <c r="F26" s="10">
        <f>$C$8*B15</f>
        <v>0.00179113758</v>
      </c>
      <c r="G26" s="10">
        <f>$C$9*B15</f>
        <v>0.0005359083639</v>
      </c>
      <c r="H26" s="10">
        <f>$C$10*B15</f>
        <v>0.0001336198187</v>
      </c>
    </row>
    <row r="27">
      <c r="A27" s="2">
        <v>2.0</v>
      </c>
      <c r="B27" s="10">
        <f t="shared" si="21"/>
        <v>0.01515695278</v>
      </c>
      <c r="C27" s="10">
        <f t="shared" si="22"/>
        <v>0.02267480135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0.01338381688</v>
      </c>
      <c r="C28" s="10">
        <f t="shared" si="22"/>
        <v>0.02002219005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0.007878740838</v>
      </c>
      <c r="C29" s="10">
        <f t="shared" si="22"/>
        <v>0.01178659629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0.003478523228</v>
      </c>
      <c r="C30" s="10">
        <f t="shared" si="22"/>
        <v>0.005203870749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0.001228635296</v>
      </c>
      <c r="C31" s="10">
        <f t="shared" si="22"/>
        <v>0.001838038402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newcastle</v>
      </c>
      <c r="J33" s="2" t="s">
        <v>17</v>
      </c>
      <c r="K33" s="7" t="str">
        <f>B13</f>
        <v>bournemouth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0.00002014085774</v>
      </c>
      <c r="C36" s="10">
        <f t="shared" ref="C36:C41" si="24">$C$5*B25</f>
        <v>0.00003013072318</v>
      </c>
      <c r="D36" s="10">
        <f>$C$6*B25</f>
        <v>0.00002253778094</v>
      </c>
      <c r="E36" s="10">
        <f>$C$7*B25</f>
        <v>0.00001123884009</v>
      </c>
      <c r="F36" s="10">
        <f>$C$8*B25</f>
        <v>0.000004203326195</v>
      </c>
      <c r="G36" s="10">
        <f>$C$9*B25</f>
        <v>0.000001257635198</v>
      </c>
      <c r="H36" s="10">
        <f>$C$10*B25</f>
        <v>0.0000003135703759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0.001922690005</v>
      </c>
      <c r="C37" s="10">
        <f t="shared" si="24"/>
        <v>0.002876344247</v>
      </c>
      <c r="D37" s="7">
        <f t="shared" ref="D37:H37" si="25">D27*D17</f>
        <v>0.01114208512</v>
      </c>
      <c r="E37" s="7">
        <f t="shared" si="25"/>
        <v>0.003333711867</v>
      </c>
      <c r="F37" s="7">
        <f t="shared" si="25"/>
        <v>0.0008312054921</v>
      </c>
      <c r="G37" s="7">
        <f t="shared" si="25"/>
        <v>0.000177640488</v>
      </c>
      <c r="H37" s="7">
        <f t="shared" si="25"/>
        <v>0.00003321877126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0.01114208512</v>
      </c>
      <c r="N37" s="7">
        <f>E27*D18</f>
        <v>0.003935451381</v>
      </c>
      <c r="O37" s="7">
        <f>F27*D19</f>
        <v>0.00115835422</v>
      </c>
      <c r="P37" s="7">
        <f>G27*D20</f>
        <v>0.0002922411909</v>
      </c>
      <c r="Q37" s="7">
        <f>H27*D21</f>
        <v>0.00006451333987</v>
      </c>
    </row>
    <row r="38">
      <c r="A38" s="2">
        <v>3.0</v>
      </c>
      <c r="B38" s="10">
        <f t="shared" si="23"/>
        <v>0.003395528286</v>
      </c>
      <c r="C38" s="10">
        <f t="shared" si="24"/>
        <v>0.005079710315</v>
      </c>
      <c r="D38" s="10"/>
      <c r="E38" s="7">
        <f t="shared" ref="E38:H38" si="28">E28*E18</f>
        <v>0.005887435266</v>
      </c>
      <c r="F38" s="7">
        <f t="shared" si="28"/>
        <v>0.00146793386</v>
      </c>
      <c r="G38" s="7">
        <f t="shared" si="28"/>
        <v>0.0003137184363</v>
      </c>
      <c r="H38" s="7">
        <f t="shared" si="28"/>
        <v>0.00005866534758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0.005887435266</v>
      </c>
      <c r="O38" s="7">
        <f>F28*E19</f>
        <v>0.001732897912</v>
      </c>
      <c r="P38" s="7">
        <f>G28*E20</f>
        <v>0.0004371928216</v>
      </c>
      <c r="Q38" s="7">
        <f>H28*E21</f>
        <v>0.00009651195644</v>
      </c>
    </row>
    <row r="39">
      <c r="A39" s="2">
        <v>4.0</v>
      </c>
      <c r="B39" s="10">
        <f t="shared" si="23"/>
        <v>0.002998302459</v>
      </c>
      <c r="C39" s="10">
        <f t="shared" si="24"/>
        <v>0.004485460478</v>
      </c>
      <c r="D39" s="10"/>
      <c r="E39" s="10"/>
      <c r="F39" s="7">
        <f t="shared" ref="F39:H39" si="29">F29*F19</f>
        <v>0.001296207639</v>
      </c>
      <c r="G39" s="7">
        <f t="shared" si="29"/>
        <v>0.0002770180896</v>
      </c>
      <c r="H39" s="7">
        <f t="shared" si="29"/>
        <v>0.00005180238276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0.001296207639</v>
      </c>
      <c r="P39" s="7">
        <f>G29*F20</f>
        <v>0.0003270202305</v>
      </c>
      <c r="Q39" s="7">
        <f>H29*F21</f>
        <v>0.00007219094342</v>
      </c>
    </row>
    <row r="40">
      <c r="A40" s="2">
        <v>5.0</v>
      </c>
      <c r="B40" s="10">
        <f t="shared" si="23"/>
        <v>0.001765030726</v>
      </c>
      <c r="C40" s="10">
        <f t="shared" si="24"/>
        <v>0.002640485967</v>
      </c>
      <c r="D40" s="10"/>
      <c r="E40" s="10"/>
      <c r="F40" s="10"/>
      <c r="G40" s="7">
        <f t="shared" ref="G40:H40" si="30">G30*G20</f>
        <v>0.0001630740883</v>
      </c>
      <c r="H40" s="7">
        <f t="shared" si="30"/>
        <v>0.00003049485451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0.0001630740883</v>
      </c>
      <c r="Q40" s="7">
        <f>H30*G21</f>
        <v>0.00003599921712</v>
      </c>
    </row>
    <row r="41">
      <c r="A41" s="2">
        <v>6.0</v>
      </c>
      <c r="B41" s="10">
        <f t="shared" si="23"/>
        <v>0.0007792743164</v>
      </c>
      <c r="C41" s="10">
        <f t="shared" si="24"/>
        <v>0.001165794377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27</v>
      </c>
      <c r="C1" s="1" t="s">
        <v>51</v>
      </c>
      <c r="D1" s="2" t="s">
        <v>2</v>
      </c>
      <c r="G1" s="2" t="str">
        <f t="shared" ref="G1:H1" si="1">B1</f>
        <v>psg</v>
      </c>
      <c r="H1" s="2" t="str">
        <f t="shared" si="1"/>
        <v>nantes</v>
      </c>
      <c r="J1" s="3" t="str">
        <f>G1</f>
        <v>psg</v>
      </c>
      <c r="K1" s="3" t="s">
        <v>3</v>
      </c>
      <c r="L1" s="3" t="s">
        <v>4</v>
      </c>
      <c r="M1" s="3" t="s">
        <v>5</v>
      </c>
      <c r="N1" s="3" t="str">
        <f>H1</f>
        <v>nantes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0.04360712746722055</v>
      </c>
      <c r="C2" s="1">
        <v>0.5336580505029904</v>
      </c>
      <c r="D2" s="2" t="s">
        <v>7</v>
      </c>
      <c r="E2" s="1">
        <v>2.5</v>
      </c>
      <c r="F2" s="2" t="s">
        <v>8</v>
      </c>
      <c r="G2" s="1">
        <v>1.175</v>
      </c>
      <c r="H2" s="1">
        <v>22.5</v>
      </c>
      <c r="J2" s="3"/>
      <c r="K2" s="4"/>
      <c r="L2" s="5">
        <v>2.5</v>
      </c>
      <c r="M2" s="6">
        <f t="shared" ref="M2:M11" si="3">IFERROR(-ln(1-(1/L2)),0)</f>
        <v>0.5108256238</v>
      </c>
      <c r="N2" s="3"/>
      <c r="O2" s="4"/>
      <c r="P2" s="5">
        <v>2.9</v>
      </c>
      <c r="Q2" s="6">
        <f t="shared" ref="Q2:Q11" si="4">IFERROR(-ln(1-(1/P2)),0)</f>
        <v>0.4228568508</v>
      </c>
    </row>
    <row r="3">
      <c r="A3" s="2" t="s">
        <v>5</v>
      </c>
      <c r="B3" s="7">
        <f t="shared" ref="B3:C3" si="2">-ln(B2)</f>
        <v>3.132534668</v>
      </c>
      <c r="C3" s="7">
        <f t="shared" si="2"/>
        <v>0.628</v>
      </c>
      <c r="D3" s="2" t="s">
        <v>9</v>
      </c>
      <c r="E3" s="1">
        <v>1.38</v>
      </c>
      <c r="F3" s="2" t="s">
        <v>10</v>
      </c>
      <c r="G3" s="8">
        <f>1/(1/G2+SUM(D37:H40))</f>
        <v>1.166483376</v>
      </c>
      <c r="H3" s="8">
        <f>1/(1/H2+SUM(M37:Q40))</f>
        <v>17.9561527</v>
      </c>
      <c r="J3" s="3"/>
      <c r="K3" s="4"/>
      <c r="L3" s="5">
        <v>4.0</v>
      </c>
      <c r="M3" s="6">
        <f t="shared" si="3"/>
        <v>0.2876820725</v>
      </c>
      <c r="N3" s="3"/>
      <c r="O3" s="4"/>
      <c r="P3" s="5">
        <v>3.75</v>
      </c>
      <c r="Q3" s="6">
        <f t="shared" si="4"/>
        <v>0.3101549283</v>
      </c>
    </row>
    <row r="4">
      <c r="A4" s="2" t="s">
        <v>11</v>
      </c>
      <c r="J4" s="3"/>
      <c r="K4" s="4"/>
      <c r="L4" s="5">
        <v>5.0</v>
      </c>
      <c r="M4" s="6">
        <f t="shared" si="3"/>
        <v>0.2231435513</v>
      </c>
      <c r="N4" s="3"/>
      <c r="O4" s="4"/>
      <c r="P4" s="5">
        <v>4.0</v>
      </c>
      <c r="Q4" s="6">
        <f t="shared" si="4"/>
        <v>0.2876820725</v>
      </c>
    </row>
    <row r="5">
      <c r="A5" s="2">
        <v>1.0</v>
      </c>
      <c r="B5" s="7">
        <f t="shared" ref="B5:C5" si="5">((B$3^$A5)/FACT($A5))*EXP(-B$3)</f>
        <v>0.1366008386</v>
      </c>
      <c r="C5" s="7">
        <f t="shared" si="5"/>
        <v>0.3351372557</v>
      </c>
      <c r="D5" s="2">
        <v>1.5</v>
      </c>
      <c r="E5" s="7">
        <f>1/(B2*(C2+C5)+B5*C2)</f>
        <v>9.026590134</v>
      </c>
      <c r="J5" s="3"/>
      <c r="K5" s="4"/>
      <c r="L5" s="5">
        <v>5.0</v>
      </c>
      <c r="M5" s="6">
        <f t="shared" si="3"/>
        <v>0.2231435513</v>
      </c>
      <c r="N5" s="3"/>
      <c r="O5" s="4"/>
      <c r="P5" s="5">
        <v>6.0</v>
      </c>
      <c r="Q5" s="6">
        <f t="shared" si="4"/>
        <v>0.1823215568</v>
      </c>
    </row>
    <row r="6">
      <c r="A6" s="2">
        <v>2.0</v>
      </c>
      <c r="B6" s="7">
        <f t="shared" ref="B6:C6" si="6">((B$3^$A6)/FACT($A6))*EXP(-B$3)</f>
        <v>0.2139534312</v>
      </c>
      <c r="C6" s="7">
        <f t="shared" si="6"/>
        <v>0.1052330983</v>
      </c>
      <c r="D6" s="2">
        <v>2.5</v>
      </c>
      <c r="E6" s="7">
        <f>1/(B2*(C2+C5+C6)+B5*(C2+C5)+B6*C2)</f>
        <v>3.631995743</v>
      </c>
      <c r="F6" s="2" t="s">
        <v>12</v>
      </c>
      <c r="J6" s="3"/>
      <c r="K6" s="4"/>
      <c r="L6" s="5">
        <v>8.0</v>
      </c>
      <c r="M6" s="6">
        <f t="shared" si="3"/>
        <v>0.1335313926</v>
      </c>
      <c r="N6" s="3"/>
      <c r="O6" s="4"/>
      <c r="P6" s="5">
        <v>8.0</v>
      </c>
      <c r="Q6" s="6">
        <f t="shared" si="4"/>
        <v>0.1335313926</v>
      </c>
    </row>
    <row r="7">
      <c r="A7" s="2">
        <v>3.0</v>
      </c>
      <c r="B7" s="7">
        <f t="shared" ref="B7:C7" si="7">((B$3^$A7)/FACT($A7))*EXP(-B$3)</f>
        <v>0.2234055136</v>
      </c>
      <c r="C7" s="7">
        <f t="shared" si="7"/>
        <v>0.02202879524</v>
      </c>
      <c r="D7" s="2">
        <v>3.5</v>
      </c>
      <c r="E7" s="7">
        <f>1/(B2*(C2+C5+C6+C7)+B5*(C2+C5+C6)+B6*(C2+C5)+B7*C2)</f>
        <v>2.076445686</v>
      </c>
      <c r="F7" s="7" t="str">
        <f>B1</f>
        <v>psg</v>
      </c>
      <c r="G7" s="2" t="s">
        <v>13</v>
      </c>
      <c r="H7" s="7" t="str">
        <f>C1</f>
        <v>nantes</v>
      </c>
      <c r="J7" s="3"/>
      <c r="K7" s="4"/>
      <c r="L7" s="5">
        <v>12.0</v>
      </c>
      <c r="M7" s="6">
        <f t="shared" si="3"/>
        <v>0.08701137699</v>
      </c>
      <c r="N7" s="3"/>
      <c r="O7" s="4"/>
      <c r="P7" s="5">
        <v>8.25</v>
      </c>
      <c r="Q7" s="6">
        <f t="shared" si="4"/>
        <v>0.1292117315</v>
      </c>
    </row>
    <row r="8">
      <c r="A8" s="2">
        <v>4.0</v>
      </c>
      <c r="B8" s="7">
        <f t="shared" ref="B8:C8" si="8">((B$3^$A8)/FACT($A8))*EXP(-B$3)</f>
        <v>0.1749563791</v>
      </c>
      <c r="C8" s="7">
        <f t="shared" si="8"/>
        <v>0.003458520853</v>
      </c>
      <c r="D8" s="2">
        <v>4.5</v>
      </c>
      <c r="E8" s="7">
        <f>1/(B2*(C2+C5+C6+C7+C8)+B5*(C2+C5+C6+C7)+B6*(C2+C5+C6)+B7*(C2+C5)+B8*C2)</f>
        <v>1.480372805</v>
      </c>
      <c r="F8" s="7">
        <f>B5*C2+B6*(C5+C2)+B7*(C6+C5+C2)+B8*(C7+C6+C5+C2)+B9*(C8+C7+C6+C5+C2)+B10*(C9+C8+C7+C6+C5+C2)+B11*(C10+C9+C8+C7+C6+C5+C2)+B12*(C11+C10+C9+C8+C7+C6+C5+C2)</f>
        <v>0.85306908</v>
      </c>
      <c r="G8" s="7">
        <f>B2*C2+B5*C5+B6*C6+B7*C7+B8*C8+B9*C9+B10*C10+B11*C11+B12*C12</f>
        <v>0.09714307553</v>
      </c>
      <c r="H8" s="7">
        <f>C5*B2+C6*(B5+B2)+C7*(B6+B5+B2)+C8*(B7+B6+B5+B2)+C9*(B8+B7+B6+B5+B2)+C10*(B9+B8+B7+B6+B5+B2)+C11*(B10+B9+B7+B8+B6+B5+B2)</f>
        <v>0.04478617857</v>
      </c>
      <c r="J8" s="3"/>
      <c r="K8" s="4"/>
      <c r="L8" s="5">
        <v>12.0</v>
      </c>
      <c r="M8" s="6">
        <f t="shared" si="3"/>
        <v>0.08701137699</v>
      </c>
      <c r="N8" s="3"/>
      <c r="O8" s="4"/>
      <c r="P8" s="5">
        <v>8.0</v>
      </c>
      <c r="Q8" s="6">
        <f t="shared" si="4"/>
        <v>0.1335313926</v>
      </c>
    </row>
    <row r="9">
      <c r="A9" s="2">
        <v>5.0</v>
      </c>
      <c r="B9" s="7">
        <f t="shared" ref="B9:C9" si="9">((B$3^$A9)/FACT($A9))*EXP(-B$3)</f>
        <v>0.1096113846</v>
      </c>
      <c r="C9" s="7">
        <f t="shared" si="9"/>
        <v>0.0004343902192</v>
      </c>
      <c r="F9" s="9">
        <f t="shared" ref="F9:H9" si="10">1/F8</f>
        <v>1.172238009</v>
      </c>
      <c r="G9" s="9">
        <f t="shared" si="10"/>
        <v>10.29409451</v>
      </c>
      <c r="H9" s="9">
        <f t="shared" si="10"/>
        <v>22.32831717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10.0</v>
      </c>
      <c r="Q9" s="6">
        <f t="shared" si="4"/>
        <v>0.1053605157</v>
      </c>
    </row>
    <row r="10">
      <c r="A10" s="2">
        <v>6.0</v>
      </c>
      <c r="B10" s="7">
        <f t="shared" ref="B10:C10" si="11">((B$3^$A10)/FACT($A10))*EXP(-B$3)</f>
        <v>0.05722691035</v>
      </c>
      <c r="C10" s="7">
        <f t="shared" si="11"/>
        <v>0.00004546617627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0.0256093258</v>
      </c>
      <c r="C11" s="7">
        <f t="shared" si="12"/>
        <v>0.000004078965528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0.01002776261</v>
      </c>
      <c r="C12" s="7">
        <f t="shared" si="13"/>
        <v>0.000000320198794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nantes</v>
      </c>
      <c r="J13" s="3"/>
      <c r="K13" s="3"/>
      <c r="L13" s="3" t="s">
        <v>14</v>
      </c>
      <c r="M13" s="6">
        <f>SUM(M2:M11)</f>
        <v>1.75932756</v>
      </c>
      <c r="N13" s="3"/>
      <c r="O13" s="3"/>
      <c r="P13" s="3" t="s">
        <v>14</v>
      </c>
      <c r="Q13" s="6">
        <f>SUM(Q2:Q11)</f>
        <v>1.842636184</v>
      </c>
    </row>
    <row r="14">
      <c r="A14" s="7" t="str">
        <f>B1</f>
        <v>psg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1.552348945</v>
      </c>
      <c r="N14" s="3"/>
      <c r="O14" s="3"/>
      <c r="P14" s="3" t="s">
        <v>15</v>
      </c>
      <c r="Q14" s="6">
        <f>SUM(Q2:Q8)</f>
        <v>1.599289925</v>
      </c>
    </row>
    <row r="15">
      <c r="A15" s="2">
        <v>0.0</v>
      </c>
      <c r="B15" s="7">
        <f>B2*$C$2</f>
        <v>0.02327129463</v>
      </c>
      <c r="C15" s="7">
        <f>C5*B2</f>
        <v>0.01461437303</v>
      </c>
      <c r="D15" s="7">
        <f>C6*B2</f>
        <v>0.004588913131</v>
      </c>
      <c r="E15" s="7">
        <f>C7*B2</f>
        <v>0.0009606124821</v>
      </c>
      <c r="F15" s="7">
        <f>C8*B2</f>
        <v>0.0001508161597</v>
      </c>
      <c r="G15" s="7">
        <f>C9*B2</f>
        <v>0.00001894250966</v>
      </c>
      <c r="H15" s="7">
        <f>$C$10*B2</f>
        <v>0.000001982649344</v>
      </c>
    </row>
    <row r="16">
      <c r="A16" s="2">
        <v>1.0</v>
      </c>
      <c r="B16" s="7">
        <f t="shared" ref="B16:B21" si="14">B5*$C$2</f>
        <v>0.0728981372</v>
      </c>
      <c r="C16" s="7">
        <f t="shared" ref="C16:C21" si="15">$C$5*B5</f>
        <v>0.04578003016</v>
      </c>
      <c r="D16" s="7">
        <f t="shared" ref="D16:D21" si="16">$C$6*B5</f>
        <v>0.01437492947</v>
      </c>
      <c r="E16" s="7">
        <f t="shared" ref="E16:E21" si="17">$C$7*B5</f>
        <v>0.003009151903</v>
      </c>
      <c r="F16" s="7">
        <f t="shared" ref="F16:F21" si="18">$C$8*B5</f>
        <v>0.0004724368487</v>
      </c>
      <c r="G16" s="7">
        <f t="shared" ref="G16:G21" si="19">$C$9*B5</f>
        <v>0.0000593380682</v>
      </c>
      <c r="H16" s="7">
        <f t="shared" ref="H16:H21" si="20">$C$10*B5</f>
        <v>0.000006210717805</v>
      </c>
    </row>
    <row r="17">
      <c r="A17" s="2">
        <v>2.0</v>
      </c>
      <c r="B17" s="7">
        <f t="shared" si="14"/>
        <v>0.114177971</v>
      </c>
      <c r="C17" s="7">
        <f t="shared" si="15"/>
        <v>0.07170376579</v>
      </c>
      <c r="D17" s="7">
        <f t="shared" si="16"/>
        <v>0.02251498246</v>
      </c>
      <c r="E17" s="7">
        <f t="shared" si="17"/>
        <v>0.004713136328</v>
      </c>
      <c r="F17" s="7">
        <f t="shared" si="18"/>
        <v>0.0007399624035</v>
      </c>
      <c r="G17" s="7">
        <f t="shared" si="19"/>
        <v>0.00009293927788</v>
      </c>
      <c r="H17" s="7">
        <f t="shared" si="20"/>
        <v>0.000009727644418</v>
      </c>
    </row>
    <row r="18">
      <c r="A18" s="2">
        <v>3.0</v>
      </c>
      <c r="B18" s="7">
        <f t="shared" si="14"/>
        <v>0.1192221508</v>
      </c>
      <c r="C18" s="7">
        <f t="shared" si="15"/>
        <v>0.07487151073</v>
      </c>
      <c r="D18" s="7">
        <f t="shared" si="16"/>
        <v>0.02350965437</v>
      </c>
      <c r="E18" s="7">
        <f t="shared" si="17"/>
        <v>0.004921354314</v>
      </c>
      <c r="F18" s="7">
        <f t="shared" si="18"/>
        <v>0.0007726526273</v>
      </c>
      <c r="G18" s="7">
        <f t="shared" si="19"/>
        <v>0.00009704516999</v>
      </c>
      <c r="H18" s="7">
        <f t="shared" si="20"/>
        <v>0.00001015739446</v>
      </c>
    </row>
    <row r="19">
      <c r="A19" s="2">
        <v>4.0</v>
      </c>
      <c r="B19" s="7">
        <f t="shared" si="14"/>
        <v>0.09336688017</v>
      </c>
      <c r="C19" s="7">
        <f t="shared" si="15"/>
        <v>0.05863440075</v>
      </c>
      <c r="D19" s="7">
        <f t="shared" si="16"/>
        <v>0.01841120183</v>
      </c>
      <c r="E19" s="7">
        <f t="shared" si="17"/>
        <v>0.003854078251</v>
      </c>
      <c r="F19" s="7">
        <f t="shared" si="18"/>
        <v>0.0006050902854</v>
      </c>
      <c r="G19" s="7">
        <f t="shared" si="19"/>
        <v>0.00007599933984</v>
      </c>
      <c r="H19" s="7">
        <f t="shared" si="20"/>
        <v>0.00000795459757</v>
      </c>
    </row>
    <row r="20">
      <c r="A20" s="2">
        <v>5.0</v>
      </c>
      <c r="B20" s="7">
        <f t="shared" si="14"/>
        <v>0.0584949978</v>
      </c>
      <c r="C20" s="7">
        <f t="shared" si="15"/>
        <v>0.03673485862</v>
      </c>
      <c r="D20" s="7">
        <f t="shared" si="16"/>
        <v>0.01153474561</v>
      </c>
      <c r="E20" s="7">
        <f t="shared" si="17"/>
        <v>0.002414606747</v>
      </c>
      <c r="F20" s="7">
        <f t="shared" si="18"/>
        <v>0.0003790932592</v>
      </c>
      <c r="G20" s="7">
        <f t="shared" si="19"/>
        <v>0.00004761411336</v>
      </c>
      <c r="H20" s="7">
        <f t="shared" si="20"/>
        <v>0.000004983610532</v>
      </c>
    </row>
    <row r="21">
      <c r="A21" s="2">
        <v>6.0</v>
      </c>
      <c r="B21" s="7">
        <f t="shared" si="14"/>
        <v>0.03053960142</v>
      </c>
      <c r="C21" s="7">
        <f t="shared" si="15"/>
        <v>0.01917886969</v>
      </c>
      <c r="D21" s="7">
        <f t="shared" si="16"/>
        <v>0.006022165082</v>
      </c>
      <c r="E21" s="7">
        <f t="shared" si="17"/>
        <v>0.001260639891</v>
      </c>
      <c r="F21" s="7">
        <f t="shared" si="18"/>
        <v>0.0001979204628</v>
      </c>
      <c r="G21" s="7">
        <f t="shared" si="19"/>
        <v>0.00002485881013</v>
      </c>
      <c r="H21" s="7">
        <f t="shared" si="20"/>
        <v>0.000002601888794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0.005351396247</v>
      </c>
      <c r="C25" s="10">
        <f>C15*B12</f>
        <v>0.0001465494635</v>
      </c>
      <c r="D25" s="10">
        <f>C16*B12</f>
        <v>0.0004590712749</v>
      </c>
      <c r="E25" s="10">
        <f>C17*B12</f>
        <v>0.0007190283418</v>
      </c>
      <c r="F25" s="10">
        <f>C18*B12</f>
        <v>0.000750793736</v>
      </c>
      <c r="G25" s="10">
        <f>C19*B12</f>
        <v>0.0005879718516</v>
      </c>
      <c r="H25" s="10">
        <f>$C$10*B12</f>
        <v>0.0000004559240226</v>
      </c>
    </row>
    <row r="26">
      <c r="A26" s="2">
        <v>1.0</v>
      </c>
      <c r="B26" s="10">
        <f t="shared" ref="B26:B31" si="21">B15*$C$2</f>
        <v>0.01241891373</v>
      </c>
      <c r="C26" s="10">
        <f t="shared" ref="C26:C31" si="22">$C$5*B15</f>
        <v>0.00779907782</v>
      </c>
      <c r="D26" s="10">
        <f>$C$6*B15</f>
        <v>0.002448910435</v>
      </c>
      <c r="E26" s="10">
        <f>$C$7*B15</f>
        <v>0.0005126385845</v>
      </c>
      <c r="F26" s="10">
        <f>$C$8*B15</f>
        <v>0.00008048425777</v>
      </c>
      <c r="G26" s="10">
        <f>$C$9*B15</f>
        <v>0.00001010882278</v>
      </c>
      <c r="H26" s="10">
        <f>$C$10*B15</f>
        <v>0.000001058056784</v>
      </c>
    </row>
    <row r="27">
      <c r="A27" s="2">
        <v>2.0</v>
      </c>
      <c r="B27" s="10">
        <f t="shared" si="21"/>
        <v>0.03890267779</v>
      </c>
      <c r="C27" s="10">
        <f t="shared" si="22"/>
        <v>0.02443088165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0.06093199342</v>
      </c>
      <c r="C28" s="10">
        <f t="shared" si="22"/>
        <v>0.03826529187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0.06362386059</v>
      </c>
      <c r="C29" s="10">
        <f t="shared" si="22"/>
        <v>0.03995578445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0.04982598725</v>
      </c>
      <c r="C30" s="10">
        <f t="shared" si="22"/>
        <v>0.03129072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0.03121632649</v>
      </c>
      <c r="C31" s="10">
        <f t="shared" si="22"/>
        <v>0.01960385303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psg</v>
      </c>
      <c r="J33" s="2" t="s">
        <v>17</v>
      </c>
      <c r="K33" s="7" t="str">
        <f>B13</f>
        <v>nantes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0.002855815689</v>
      </c>
      <c r="C36" s="10">
        <f t="shared" ref="C36:C41" si="24">$C$5*B25</f>
        <v>0.001793452252</v>
      </c>
      <c r="D36" s="10">
        <f>$C$6*B25</f>
        <v>0.0005631440073</v>
      </c>
      <c r="E36" s="10">
        <f>$C$7*B25</f>
        <v>0.0001178848122</v>
      </c>
      <c r="F36" s="10">
        <f>$C$8*B25</f>
        <v>0.00001850791551</v>
      </c>
      <c r="G36" s="10">
        <f>$C$9*B25</f>
        <v>0.000002324594188</v>
      </c>
      <c r="H36" s="10">
        <f>$C$10*B25</f>
        <v>0.0000002433075251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0.006627453288</v>
      </c>
      <c r="C37" s="10">
        <f t="shared" si="24"/>
        <v>0.004162040665</v>
      </c>
      <c r="D37" s="7">
        <f t="shared" ref="D37:H37" si="25">D27*D17</f>
        <v>0.003752497077</v>
      </c>
      <c r="E37" s="7">
        <f t="shared" si="25"/>
        <v>0.0004713136328</v>
      </c>
      <c r="F37" s="7">
        <f t="shared" si="25"/>
        <v>0.0000493308269</v>
      </c>
      <c r="G37" s="7">
        <f t="shared" si="25"/>
        <v>0.000004425679899</v>
      </c>
      <c r="H37" s="7">
        <f t="shared" si="25"/>
        <v>0.0000003474158721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0.003752497077</v>
      </c>
      <c r="N37" s="7">
        <f>E27*D18</f>
        <v>0.002350965437</v>
      </c>
      <c r="O37" s="7">
        <f>F27*D19</f>
        <v>0.001227413456</v>
      </c>
      <c r="P37" s="7">
        <f>G27*D20</f>
        <v>0.0005492736003</v>
      </c>
      <c r="Q37" s="7">
        <f>H27*D21</f>
        <v>0.0002150773244</v>
      </c>
    </row>
    <row r="38">
      <c r="A38" s="2">
        <v>3.0</v>
      </c>
      <c r="B38" s="10">
        <f t="shared" si="23"/>
        <v>0.02076072719</v>
      </c>
      <c r="C38" s="10">
        <f t="shared" si="24"/>
        <v>0.01303773667</v>
      </c>
      <c r="D38" s="10"/>
      <c r="E38" s="7">
        <f t="shared" ref="E38:H38" si="28">E28*E18</f>
        <v>0.001476406294</v>
      </c>
      <c r="F38" s="7">
        <f t="shared" si="28"/>
        <v>0.0001545305255</v>
      </c>
      <c r="G38" s="7">
        <f t="shared" si="28"/>
        <v>0.00001386359571</v>
      </c>
      <c r="H38" s="7">
        <f t="shared" si="28"/>
        <v>0.000001088292264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0.001476406294</v>
      </c>
      <c r="O38" s="7">
        <f>F28*E19</f>
        <v>0.0007708156501</v>
      </c>
      <c r="P38" s="7">
        <f>G28*E20</f>
        <v>0.000344943821</v>
      </c>
      <c r="Q38" s="7">
        <f>H28*E21</f>
        <v>0.0001350685597</v>
      </c>
    </row>
    <row r="39">
      <c r="A39" s="2">
        <v>4.0</v>
      </c>
      <c r="B39" s="10">
        <f t="shared" si="23"/>
        <v>0.03251684882</v>
      </c>
      <c r="C39" s="10">
        <f t="shared" si="24"/>
        <v>0.02042058106</v>
      </c>
      <c r="D39" s="10"/>
      <c r="E39" s="10"/>
      <c r="F39" s="7">
        <f t="shared" ref="F39:H39" si="29">F29*F19</f>
        <v>0.0002420361141</v>
      </c>
      <c r="G39" s="7">
        <f t="shared" si="29"/>
        <v>0.0000217140971</v>
      </c>
      <c r="H39" s="7">
        <f t="shared" si="29"/>
        <v>0.000001704556622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0.0002420361141</v>
      </c>
      <c r="P39" s="7">
        <f>G29*F20</f>
        <v>0.0001083123598</v>
      </c>
      <c r="Q39" s="7">
        <f>H29*F21</f>
        <v>0.00004241152775</v>
      </c>
    </row>
    <row r="40">
      <c r="A40" s="2">
        <v>5.0</v>
      </c>
      <c r="B40" s="10">
        <f t="shared" si="23"/>
        <v>0.03395338541</v>
      </c>
      <c r="C40" s="10">
        <f t="shared" si="24"/>
        <v>0.02132272604</v>
      </c>
      <c r="D40" s="10"/>
      <c r="E40" s="10"/>
      <c r="F40" s="10"/>
      <c r="G40" s="7">
        <f t="shared" ref="G40:H40" si="30">G30*G20</f>
        <v>0.00002267338731</v>
      </c>
      <c r="H40" s="7">
        <f t="shared" si="30"/>
        <v>0.000001779860904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0.00002267338731</v>
      </c>
      <c r="Q40" s="7">
        <f>H30*G21</f>
        <v>0.000008878146475</v>
      </c>
    </row>
    <row r="41">
      <c r="A41" s="2">
        <v>6.0</v>
      </c>
      <c r="B41" s="10">
        <f t="shared" si="23"/>
        <v>0.02659003922</v>
      </c>
      <c r="C41" s="10">
        <f t="shared" si="24"/>
        <v>0.01669854463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52</v>
      </c>
      <c r="C1" s="1" t="s">
        <v>53</v>
      </c>
      <c r="D1" s="2" t="s">
        <v>2</v>
      </c>
      <c r="G1" s="2" t="str">
        <f t="shared" ref="G1:H1" si="1">B1</f>
        <v>elche</v>
      </c>
      <c r="H1" s="2" t="str">
        <f t="shared" si="1"/>
        <v>atletico</v>
      </c>
      <c r="J1" s="3" t="str">
        <f>G1</f>
        <v>elche</v>
      </c>
      <c r="K1" s="3" t="s">
        <v>3</v>
      </c>
      <c r="L1" s="3" t="s">
        <v>4</v>
      </c>
      <c r="M1" s="3" t="s">
        <v>5</v>
      </c>
      <c r="N1" s="3" t="str">
        <f>H1</f>
        <v>atletico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0.21898175881801446</v>
      </c>
      <c r="C2" s="1">
        <v>0.2628951488158114</v>
      </c>
      <c r="D2" s="2" t="s">
        <v>7</v>
      </c>
      <c r="E2" s="1">
        <v>2.5</v>
      </c>
      <c r="F2" s="2" t="s">
        <v>8</v>
      </c>
      <c r="G2" s="1">
        <v>2.47</v>
      </c>
      <c r="H2" s="1">
        <v>3.08</v>
      </c>
      <c r="J2" s="3"/>
      <c r="K2" s="4"/>
      <c r="L2" s="5">
        <v>2.0</v>
      </c>
      <c r="M2" s="6">
        <f t="shared" ref="M2:M11" si="3">IFERROR(-ln(1-(1/L2)),0)</f>
        <v>0.6931471806</v>
      </c>
      <c r="N2" s="3"/>
      <c r="O2" s="4"/>
      <c r="P2" s="5">
        <v>3.25</v>
      </c>
      <c r="Q2" s="6">
        <f t="shared" ref="Q2:Q11" si="4">IFERROR(-ln(1-(1/P2)),0)</f>
        <v>0.3677247801</v>
      </c>
    </row>
    <row r="3">
      <c r="A3" s="2" t="s">
        <v>5</v>
      </c>
      <c r="B3" s="7">
        <f t="shared" ref="B3:C3" si="2">-ln(B2)</f>
        <v>1.518766846</v>
      </c>
      <c r="C3" s="7">
        <f t="shared" si="2"/>
        <v>1.336</v>
      </c>
      <c r="D3" s="2" t="s">
        <v>9</v>
      </c>
      <c r="E3" s="1">
        <v>1.84</v>
      </c>
      <c r="F3" s="2" t="s">
        <v>10</v>
      </c>
      <c r="G3" s="8">
        <f>1/(1/G2+SUM(D37:H40))</f>
        <v>2.357960213</v>
      </c>
      <c r="H3" s="8">
        <f>1/(1/H2+SUM(M37:Q40))</f>
        <v>2.900896512</v>
      </c>
      <c r="J3" s="3"/>
      <c r="K3" s="4"/>
      <c r="L3" s="5">
        <v>3.0</v>
      </c>
      <c r="M3" s="6">
        <f t="shared" si="3"/>
        <v>0.4054651081</v>
      </c>
      <c r="N3" s="3"/>
      <c r="O3" s="4"/>
      <c r="P3" s="5">
        <v>2.4</v>
      </c>
      <c r="Q3" s="6">
        <f t="shared" si="4"/>
        <v>0.5389965007</v>
      </c>
    </row>
    <row r="4">
      <c r="A4" s="2" t="s">
        <v>11</v>
      </c>
      <c r="J4" s="3"/>
      <c r="K4" s="4"/>
      <c r="L4" s="5">
        <v>2.5</v>
      </c>
      <c r="M4" s="6">
        <f t="shared" si="3"/>
        <v>0.5108256238</v>
      </c>
      <c r="N4" s="3"/>
      <c r="O4" s="4"/>
      <c r="P4" s="5">
        <v>2.75</v>
      </c>
      <c r="Q4" s="6">
        <f t="shared" si="4"/>
        <v>0.4519851237</v>
      </c>
    </row>
    <row r="5">
      <c r="A5" s="2">
        <v>1.0</v>
      </c>
      <c r="B5" s="7">
        <f t="shared" ref="B5:C5" si="5">((B$3^$A5)/FACT($A5))*EXP(-B$3)</f>
        <v>0.3325822351</v>
      </c>
      <c r="C5" s="7">
        <f t="shared" si="5"/>
        <v>0.3512279188</v>
      </c>
      <c r="D5" s="2">
        <v>1.5</v>
      </c>
      <c r="E5" s="7">
        <f>1/(B2*(C2+C5)+B5*C2)</f>
        <v>4.506209442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3.75</v>
      </c>
      <c r="Q5" s="6">
        <f t="shared" si="4"/>
        <v>0.3101549283</v>
      </c>
    </row>
    <row r="6">
      <c r="A6" s="2">
        <v>2.0</v>
      </c>
      <c r="B6" s="7">
        <f t="shared" ref="B6:C6" si="6">((B$3^$A6)/FACT($A6))*EXP(-B$3)</f>
        <v>0.2525574361</v>
      </c>
      <c r="C6" s="7">
        <f t="shared" si="6"/>
        <v>0.2346202498</v>
      </c>
      <c r="D6" s="2">
        <v>2.5</v>
      </c>
      <c r="E6" s="7">
        <f>1/(B2*(C2+C5+C6)+B5*(C2+C5)+B6*C2)</f>
        <v>2.190571619</v>
      </c>
      <c r="F6" s="2" t="s">
        <v>12</v>
      </c>
      <c r="J6" s="3"/>
      <c r="K6" s="4"/>
      <c r="L6" s="5">
        <v>5.5</v>
      </c>
      <c r="M6" s="6">
        <f t="shared" si="3"/>
        <v>0.2006706955</v>
      </c>
      <c r="N6" s="3"/>
      <c r="O6" s="4"/>
      <c r="P6" s="5">
        <v>11.0</v>
      </c>
      <c r="Q6" s="6">
        <f t="shared" si="4"/>
        <v>0.0953101798</v>
      </c>
    </row>
    <row r="7">
      <c r="A7" s="2">
        <v>3.0</v>
      </c>
      <c r="B7" s="7">
        <f t="shared" ref="B7:C7" si="7">((B$3^$A7)/FACT($A7))*EXP(-B$3)</f>
        <v>0.1278586202</v>
      </c>
      <c r="C7" s="7">
        <f t="shared" si="7"/>
        <v>0.1044842179</v>
      </c>
      <c r="D7" s="2">
        <v>3.5</v>
      </c>
      <c r="E7" s="7">
        <f>1/(B2*(C2+C5+C6+C7)+B5*(C2+C5+C6)+B6*(C2+C5)+B7*C2)</f>
        <v>1.471169888</v>
      </c>
      <c r="F7" s="7" t="str">
        <f>B1</f>
        <v>elche</v>
      </c>
      <c r="G7" s="2" t="s">
        <v>13</v>
      </c>
      <c r="H7" s="7" t="str">
        <f>C1</f>
        <v>atletico</v>
      </c>
      <c r="J7" s="3"/>
      <c r="K7" s="4"/>
      <c r="L7" s="5">
        <v>5.0</v>
      </c>
      <c r="M7" s="6">
        <f t="shared" si="3"/>
        <v>0.2231435513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0.04854685832</v>
      </c>
      <c r="C8" s="7">
        <f t="shared" si="8"/>
        <v>0.03489772878</v>
      </c>
      <c r="D8" s="2">
        <v>4.5</v>
      </c>
      <c r="E8" s="7">
        <f>1/(B2*(C2+C5+C6+C7+C8)+B5*(C2+C5+C6+C7)+B6*(C2+C5+C6)+B7*(C2+C5)+B8*C2)</f>
        <v>1.191826856</v>
      </c>
      <c r="F8" s="7">
        <f>B5*C2+B6*(C5+C2)+B7*(C6+C5+C2)+B8*(C7+C6+C5+C2)+B9*(C8+C7+C6+C5+C2)+B10*(C9+C8+C7+C6+C5+C2)+B11*(C10+C9+C8+C7+C6+C5+C2)+B12*(C11+C10+C9+C8+C7+C6+C5+C2)</f>
        <v>0.4165885162</v>
      </c>
      <c r="G8" s="7">
        <f>B2*C2+B5*C5+B6*C6+B7*C7+B8*C8+B9*C9+B10*C10+B11*C11+B12*C12</f>
        <v>0.2488354655</v>
      </c>
      <c r="H8" s="7">
        <f>C5*B2+C6*(B5+B2)+C7*(B6+B5+B2)+C8*(B7+B6+B5+B2)+C9*(B8+B7+B6+B5+B2)+C10*(B9+B8+B7+B6+B5+B2)+C11*(B10+B9+B7+B8+B6+B5+B2)</f>
        <v>0.3344680293</v>
      </c>
      <c r="J8" s="3"/>
      <c r="K8" s="4"/>
      <c r="L8" s="5">
        <v>10.0</v>
      </c>
      <c r="M8" s="6">
        <f t="shared" si="3"/>
        <v>0.1053605157</v>
      </c>
      <c r="N8" s="3"/>
      <c r="O8" s="4"/>
      <c r="P8" s="5">
        <v>10.5</v>
      </c>
      <c r="Q8" s="6">
        <f t="shared" si="4"/>
        <v>0.1000834586</v>
      </c>
    </row>
    <row r="9">
      <c r="A9" s="2">
        <v>5.0</v>
      </c>
      <c r="B9" s="7">
        <f t="shared" ref="B9:C9" si="9">((B$3^$A9)/FACT($A9))*EXP(-B$3)</f>
        <v>0.01474627178</v>
      </c>
      <c r="C9" s="7">
        <f t="shared" si="9"/>
        <v>0.009324673129</v>
      </c>
      <c r="F9" s="9">
        <f t="shared" ref="F9:H9" si="10">1/F8</f>
        <v>2.400450231</v>
      </c>
      <c r="G9" s="9">
        <f t="shared" si="10"/>
        <v>4.018719751</v>
      </c>
      <c r="H9" s="9">
        <f t="shared" si="10"/>
        <v>2.989822382</v>
      </c>
      <c r="J9" s="3"/>
      <c r="K9" s="4"/>
      <c r="L9" s="5">
        <v>8.0</v>
      </c>
      <c r="M9" s="6">
        <f t="shared" si="3"/>
        <v>0.1335313926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0.003732691445</v>
      </c>
      <c r="C10" s="7">
        <f t="shared" si="11"/>
        <v>0.002076293883</v>
      </c>
      <c r="J10" s="3"/>
      <c r="K10" s="4"/>
      <c r="L10" s="5">
        <v>10.0</v>
      </c>
      <c r="M10" s="6">
        <f t="shared" si="3"/>
        <v>0.1053605157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0.000809869716</v>
      </c>
      <c r="C11" s="7">
        <f t="shared" si="12"/>
        <v>0.0003962755183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12.5</v>
      </c>
      <c r="Q11" s="6">
        <f t="shared" si="4"/>
        <v>0.08338160894</v>
      </c>
    </row>
    <row r="12">
      <c r="A12" s="2">
        <v>8.0</v>
      </c>
      <c r="B12" s="7">
        <f t="shared" ref="B12:C12" si="13">((B$3^$A12)/FACT($A12))*EXP(-B$3)</f>
        <v>0.0001537504092</v>
      </c>
      <c r="C12" s="7">
        <f t="shared" si="13"/>
        <v>0.00006617801156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atletico</v>
      </c>
      <c r="J13" s="3"/>
      <c r="K13" s="3"/>
      <c r="L13" s="3" t="s">
        <v>14</v>
      </c>
      <c r="M13" s="6">
        <f>SUM(M2:M11)</f>
        <v>2.580028847</v>
      </c>
      <c r="N13" s="3"/>
      <c r="O13" s="3"/>
      <c r="P13" s="3" t="s">
        <v>14</v>
      </c>
      <c r="Q13" s="6">
        <f>SUM(Q2:Q11)</f>
        <v>2.1726337</v>
      </c>
    </row>
    <row r="14">
      <c r="A14" s="7" t="str">
        <f>B1</f>
        <v>elche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2.272144067</v>
      </c>
      <c r="N14" s="3"/>
      <c r="O14" s="3"/>
      <c r="P14" s="3" t="s">
        <v>15</v>
      </c>
      <c r="Q14" s="6">
        <f>SUM(Q2:Q8)</f>
        <v>1.951266348</v>
      </c>
    </row>
    <row r="15">
      <c r="A15" s="2">
        <v>0.0</v>
      </c>
      <c r="B15" s="7">
        <f>B2*$C$2</f>
        <v>0.05756924207</v>
      </c>
      <c r="C15" s="7">
        <f>C5*B2</f>
        <v>0.07691250741</v>
      </c>
      <c r="D15" s="7">
        <f>C6*B2</f>
        <v>0.05137755495</v>
      </c>
      <c r="E15" s="7">
        <f>C7*B2</f>
        <v>0.0228801378</v>
      </c>
      <c r="F15" s="7">
        <f>C8*B2</f>
        <v>0.007641966027</v>
      </c>
      <c r="G15" s="7">
        <f>C9*B2</f>
        <v>0.002041933322</v>
      </c>
      <c r="H15" s="7">
        <f>$C$10*B2</f>
        <v>0.0004546704864</v>
      </c>
    </row>
    <row r="16">
      <c r="A16" s="2">
        <v>1.0</v>
      </c>
      <c r="B16" s="7">
        <f t="shared" ref="B16:B21" si="14">B5*$C$2</f>
        <v>0.08743425619</v>
      </c>
      <c r="C16" s="7">
        <f t="shared" ref="C16:C21" si="15">$C$5*B5</f>
        <v>0.1168121663</v>
      </c>
      <c r="D16" s="7">
        <f t="shared" ref="D16:D21" si="16">$C$6*B5</f>
        <v>0.07803052707</v>
      </c>
      <c r="E16" s="7">
        <f t="shared" ref="E16:E21" si="17">$C$7*B5</f>
        <v>0.03474959472</v>
      </c>
      <c r="F16" s="7">
        <f t="shared" ref="F16:F21" si="18">$C$8*B5</f>
        <v>0.01160636464</v>
      </c>
      <c r="G16" s="7">
        <f t="shared" ref="G16:G21" si="19">$C$9*B5</f>
        <v>0.003101220631</v>
      </c>
      <c r="H16" s="7">
        <f t="shared" ref="H16:H21" si="20">$C$10*B5</f>
        <v>0.0006905384605</v>
      </c>
    </row>
    <row r="17">
      <c r="A17" s="2">
        <v>2.0</v>
      </c>
      <c r="B17" s="7">
        <f t="shared" si="14"/>
        <v>0.06639612474</v>
      </c>
      <c r="C17" s="7">
        <f t="shared" si="15"/>
        <v>0.08870522265</v>
      </c>
      <c r="D17" s="7">
        <f t="shared" si="16"/>
        <v>0.05925508873</v>
      </c>
      <c r="E17" s="7">
        <f t="shared" si="17"/>
        <v>0.02638826618</v>
      </c>
      <c r="F17" s="7">
        <f t="shared" si="18"/>
        <v>0.008813680905</v>
      </c>
      <c r="G17" s="7">
        <f t="shared" si="19"/>
        <v>0.002355015538</v>
      </c>
      <c r="H17" s="7">
        <f t="shared" si="20"/>
        <v>0.0005243834598</v>
      </c>
    </row>
    <row r="18">
      <c r="A18" s="2">
        <v>3.0</v>
      </c>
      <c r="B18" s="7">
        <f t="shared" si="14"/>
        <v>0.03361341098</v>
      </c>
      <c r="C18" s="7">
        <f t="shared" si="15"/>
        <v>0.04490751707</v>
      </c>
      <c r="D18" s="7">
        <f t="shared" si="16"/>
        <v>0.0299982214</v>
      </c>
      <c r="E18" s="7">
        <f t="shared" si="17"/>
        <v>0.01335920793</v>
      </c>
      <c r="F18" s="7">
        <f t="shared" si="18"/>
        <v>0.004461975449</v>
      </c>
      <c r="G18" s="7">
        <f t="shared" si="19"/>
        <v>0.00119223984</v>
      </c>
      <c r="H18" s="7">
        <f t="shared" si="20"/>
        <v>0.000265472071</v>
      </c>
    </row>
    <row r="19">
      <c r="A19" s="2">
        <v>4.0</v>
      </c>
      <c r="B19" s="7">
        <f t="shared" si="14"/>
        <v>0.01276273354</v>
      </c>
      <c r="C19" s="7">
        <f t="shared" si="15"/>
        <v>0.01705101201</v>
      </c>
      <c r="D19" s="7">
        <f t="shared" si="16"/>
        <v>0.01139007602</v>
      </c>
      <c r="E19" s="7">
        <f t="shared" si="17"/>
        <v>0.005072380523</v>
      </c>
      <c r="F19" s="7">
        <f t="shared" si="18"/>
        <v>0.001694175095</v>
      </c>
      <c r="G19" s="7">
        <f t="shared" si="19"/>
        <v>0.0004526835853</v>
      </c>
      <c r="H19" s="7">
        <f t="shared" si="20"/>
        <v>0.000100797545</v>
      </c>
    </row>
    <row r="20">
      <c r="A20" s="2">
        <v>5.0</v>
      </c>
      <c r="B20" s="7">
        <f t="shared" si="14"/>
        <v>0.003876723313</v>
      </c>
      <c r="C20" s="7">
        <f t="shared" si="15"/>
        <v>0.005179302346</v>
      </c>
      <c r="D20" s="7">
        <f t="shared" si="16"/>
        <v>0.003459773967</v>
      </c>
      <c r="E20" s="7">
        <f t="shared" si="17"/>
        <v>0.001540752673</v>
      </c>
      <c r="F20" s="7">
        <f t="shared" si="18"/>
        <v>0.0005146113929</v>
      </c>
      <c r="G20" s="7">
        <f t="shared" si="19"/>
        <v>0.0001375041642</v>
      </c>
      <c r="H20" s="7">
        <f t="shared" si="20"/>
        <v>0.00003061759389</v>
      </c>
    </row>
    <row r="21">
      <c r="A21" s="2">
        <v>6.0</v>
      </c>
      <c r="B21" s="7">
        <f t="shared" si="14"/>
        <v>0.0009813064729</v>
      </c>
      <c r="C21" s="7">
        <f t="shared" si="15"/>
        <v>0.001311025448</v>
      </c>
      <c r="D21" s="7">
        <f t="shared" si="16"/>
        <v>0.0008757649991</v>
      </c>
      <c r="E21" s="7">
        <f t="shared" si="17"/>
        <v>0.0003900073463</v>
      </c>
      <c r="F21" s="7">
        <f t="shared" si="18"/>
        <v>0.0001302624537</v>
      </c>
      <c r="G21" s="7">
        <f t="shared" si="19"/>
        <v>0.00003480612762</v>
      </c>
      <c r="H21" s="7">
        <f t="shared" si="20"/>
        <v>0.000007750164416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0.00004042023672</v>
      </c>
      <c r="C25" s="10">
        <f>C15*B12</f>
        <v>0.00001182532949</v>
      </c>
      <c r="D25" s="10">
        <f>C16*B12</f>
        <v>0.00001795991837</v>
      </c>
      <c r="E25" s="10">
        <f>C17*B12</f>
        <v>0.00001363846429</v>
      </c>
      <c r="F25" s="10">
        <f>C18*B12</f>
        <v>0.000006904549128</v>
      </c>
      <c r="G25" s="10">
        <f>C19*B12</f>
        <v>0.000002621600075</v>
      </c>
      <c r="H25" s="10">
        <f>$C$10*B12</f>
        <v>0.0000003192310343</v>
      </c>
    </row>
    <row r="26">
      <c r="A26" s="2">
        <v>1.0</v>
      </c>
      <c r="B26" s="10">
        <f t="shared" ref="B26:B31" si="21">B15*$C$2</f>
        <v>0.01513467446</v>
      </c>
      <c r="C26" s="10">
        <f t="shared" ref="C26:C31" si="22">$C$5*B15</f>
        <v>0.02021992508</v>
      </c>
      <c r="D26" s="10">
        <f>$C$6*B15</f>
        <v>0.01350690995</v>
      </c>
      <c r="E26" s="10">
        <f>$C$7*B15</f>
        <v>0.006015077233</v>
      </c>
      <c r="F26" s="10">
        <f>$C$8*B15</f>
        <v>0.002009035796</v>
      </c>
      <c r="G26" s="10">
        <f>$C$9*B15</f>
        <v>0.0005368143646</v>
      </c>
      <c r="H26" s="10">
        <f>$C$10*B15</f>
        <v>0.0001195306652</v>
      </c>
    </row>
    <row r="27">
      <c r="A27" s="2">
        <v>2.0</v>
      </c>
      <c r="B27" s="10">
        <f t="shared" si="21"/>
        <v>0.02298604179</v>
      </c>
      <c r="C27" s="10">
        <f t="shared" si="22"/>
        <v>0.03070935184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0.01745521909</v>
      </c>
      <c r="C28" s="10">
        <f t="shared" si="22"/>
        <v>0.02332017271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0.008836802682</v>
      </c>
      <c r="C29" s="10">
        <f t="shared" si="22"/>
        <v>0.01180596838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0.003355260734</v>
      </c>
      <c r="C30" s="10">
        <f t="shared" si="22"/>
        <v>0.00448262834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0.001019171752</v>
      </c>
      <c r="C31" s="10">
        <f t="shared" si="22"/>
        <v>0.001361613461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elche</v>
      </c>
      <c r="J33" s="2" t="s">
        <v>17</v>
      </c>
      <c r="K33" s="7" t="str">
        <f>B13</f>
        <v>atletico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0.00001062628415</v>
      </c>
      <c r="C36" s="10">
        <f t="shared" ref="C36:C41" si="24">$C$5*B25</f>
        <v>0.00001419671562</v>
      </c>
      <c r="D36" s="10">
        <f>$C$6*B25</f>
        <v>0.000009483406035</v>
      </c>
      <c r="E36" s="10">
        <f>$C$7*B25</f>
        <v>0.000004223276821</v>
      </c>
      <c r="F36" s="10">
        <f>$C$8*B25</f>
        <v>0.000001410574458</v>
      </c>
      <c r="G36" s="10">
        <f>$C$9*B25</f>
        <v>0.0000003769054952</v>
      </c>
      <c r="H36" s="10">
        <f>$C$10*B25</f>
        <v>0.00000008392429027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0.003978832495</v>
      </c>
      <c r="C37" s="10">
        <f t="shared" si="24"/>
        <v>0.005315720213</v>
      </c>
      <c r="D37" s="7">
        <f t="shared" ref="D37:H37" si="25">D27*D17</f>
        <v>0.009875848122</v>
      </c>
      <c r="E37" s="7">
        <f t="shared" si="25"/>
        <v>0.002638826618</v>
      </c>
      <c r="F37" s="7">
        <f t="shared" si="25"/>
        <v>0.000587578727</v>
      </c>
      <c r="G37" s="7">
        <f t="shared" si="25"/>
        <v>0.000112143597</v>
      </c>
      <c r="H37" s="7">
        <f t="shared" si="25"/>
        <v>0.00001872798071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0.009875848122</v>
      </c>
      <c r="N37" s="7">
        <f>E27*D18</f>
        <v>0.00299982214</v>
      </c>
      <c r="O37" s="7">
        <f>F27*D19</f>
        <v>0.0007593384016</v>
      </c>
      <c r="P37" s="7">
        <f>G27*D20</f>
        <v>0.0001647511413</v>
      </c>
      <c r="Q37" s="7">
        <f>H27*D21</f>
        <v>0.0000312773214</v>
      </c>
    </row>
    <row r="38">
      <c r="A38" s="2">
        <v>3.0</v>
      </c>
      <c r="B38" s="10">
        <f t="shared" si="23"/>
        <v>0.006042918878</v>
      </c>
      <c r="C38" s="10">
        <f t="shared" si="24"/>
        <v>0.008073339621</v>
      </c>
      <c r="D38" s="10"/>
      <c r="E38" s="7">
        <f t="shared" ref="E38:H38" si="28">E28*E18</f>
        <v>0.004007762379</v>
      </c>
      <c r="F38" s="7">
        <f t="shared" si="28"/>
        <v>0.0008923950898</v>
      </c>
      <c r="G38" s="7">
        <f t="shared" si="28"/>
        <v>0.0001703199771</v>
      </c>
      <c r="H38" s="7">
        <f t="shared" si="28"/>
        <v>0.00002844343618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0.004007762379</v>
      </c>
      <c r="O38" s="7">
        <f>F28*E19</f>
        <v>0.001014476105</v>
      </c>
      <c r="P38" s="7">
        <f>G28*E20</f>
        <v>0.0002201075248</v>
      </c>
      <c r="Q38" s="7">
        <f>H28*E21</f>
        <v>0.00004178650139</v>
      </c>
    </row>
    <row r="39">
      <c r="A39" s="2">
        <v>4.0</v>
      </c>
      <c r="B39" s="10">
        <f t="shared" si="23"/>
        <v>0.004588892422</v>
      </c>
      <c r="C39" s="10">
        <f t="shared" si="24"/>
        <v>0.006130760275</v>
      </c>
      <c r="D39" s="10"/>
      <c r="E39" s="10"/>
      <c r="F39" s="7">
        <f t="shared" ref="F39:H39" si="29">F29*F19</f>
        <v>0.0006776700378</v>
      </c>
      <c r="G39" s="7">
        <f t="shared" si="29"/>
        <v>0.0001293381672</v>
      </c>
      <c r="H39" s="7">
        <f t="shared" si="29"/>
        <v>0.00002159947393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0.0006776700378</v>
      </c>
      <c r="P39" s="7">
        <f>G29*F20</f>
        <v>0.0001470318265</v>
      </c>
      <c r="Q39" s="7">
        <f>H29*F21</f>
        <v>0.00002791338293</v>
      </c>
    </row>
    <row r="40">
      <c r="A40" s="2">
        <v>5.0</v>
      </c>
      <c r="B40" s="10">
        <f t="shared" si="23"/>
        <v>0.002323152556</v>
      </c>
      <c r="C40" s="10">
        <f t="shared" si="24"/>
        <v>0.003103731815</v>
      </c>
      <c r="D40" s="10"/>
      <c r="E40" s="10"/>
      <c r="F40" s="10"/>
      <c r="G40" s="7">
        <f t="shared" ref="G40:H40" si="30">G30*G20</f>
        <v>0.00006547817342</v>
      </c>
      <c r="H40" s="7">
        <f t="shared" si="30"/>
        <v>0.00001093485496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0.00006547817342</v>
      </c>
      <c r="Q40" s="7">
        <f>H30*G21</f>
        <v>0.00001243075986</v>
      </c>
    </row>
    <row r="41">
      <c r="A41" s="2">
        <v>6.0</v>
      </c>
      <c r="B41" s="10">
        <f t="shared" si="23"/>
        <v>0.0008820817699</v>
      </c>
      <c r="C41" s="10">
        <f t="shared" si="24"/>
        <v>0.001178461245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.13"/>
    <col customWidth="1" min="10" max="10" width="9.75"/>
    <col customWidth="1" min="14" max="14" width="9.88"/>
  </cols>
  <sheetData>
    <row r="1">
      <c r="B1" s="1" t="s">
        <v>54</v>
      </c>
      <c r="C1" s="1" t="s">
        <v>55</v>
      </c>
      <c r="D1" s="2" t="s">
        <v>2</v>
      </c>
      <c r="G1" s="2" t="str">
        <f t="shared" ref="G1:H1" si="1">B1</f>
        <v>leeds</v>
      </c>
      <c r="H1" s="2" t="str">
        <f t="shared" si="1"/>
        <v>wolves</v>
      </c>
      <c r="J1" s="3" t="str">
        <f>G1</f>
        <v>leeds</v>
      </c>
      <c r="K1" s="3" t="s">
        <v>3</v>
      </c>
      <c r="L1" s="3" t="s">
        <v>4</v>
      </c>
      <c r="M1" s="3" t="s">
        <v>5</v>
      </c>
      <c r="N1" s="3" t="str">
        <f>H1</f>
        <v>wolves</v>
      </c>
      <c r="O1" s="3" t="s">
        <v>3</v>
      </c>
      <c r="P1" s="3" t="s">
        <v>4</v>
      </c>
      <c r="Q1" s="3" t="s">
        <v>5</v>
      </c>
    </row>
    <row r="2">
      <c r="A2" s="2" t="s">
        <v>6</v>
      </c>
      <c r="B2" s="1">
        <v>0.13028998279990334</v>
      </c>
      <c r="C2" s="1">
        <v>0.45293801277655743</v>
      </c>
      <c r="D2" s="2" t="s">
        <v>7</v>
      </c>
      <c r="E2" s="1">
        <v>2.5</v>
      </c>
      <c r="F2" s="2" t="s">
        <v>8</v>
      </c>
      <c r="G2" s="1">
        <v>1.547</v>
      </c>
      <c r="H2" s="1">
        <v>7.56</v>
      </c>
      <c r="J2" s="3"/>
      <c r="K2" s="4"/>
      <c r="L2" s="5">
        <v>2.85</v>
      </c>
      <c r="M2" s="6">
        <f t="shared" ref="M2:M11" si="3">IFERROR(-ln(1-(1/L2)),0)</f>
        <v>0.4321333552</v>
      </c>
      <c r="N2" s="3"/>
      <c r="O2" s="4"/>
      <c r="P2" s="5">
        <v>3.5</v>
      </c>
      <c r="Q2" s="6">
        <f t="shared" ref="Q2:Q11" si="4">IFERROR(-ln(1-(1/P2)),0)</f>
        <v>0.3364722366</v>
      </c>
    </row>
    <row r="3">
      <c r="A3" s="2" t="s">
        <v>5</v>
      </c>
      <c r="B3" s="7">
        <f t="shared" ref="B3:C3" si="2">-ln(B2)</f>
        <v>2.037992676</v>
      </c>
      <c r="C3" s="7">
        <f t="shared" si="2"/>
        <v>0.792</v>
      </c>
      <c r="D3" s="2" t="s">
        <v>9</v>
      </c>
      <c r="E3" s="1">
        <v>1.86</v>
      </c>
      <c r="F3" s="2" t="s">
        <v>10</v>
      </c>
      <c r="G3" s="8">
        <f>1/(1/G2+SUM(D37:H40))</f>
        <v>1.522776895</v>
      </c>
      <c r="H3" s="8">
        <f>1/(1/H2+SUM(M37:Q40))</f>
        <v>6.852276192</v>
      </c>
      <c r="J3" s="3"/>
      <c r="K3" s="4"/>
      <c r="L3" s="5">
        <v>4.0</v>
      </c>
      <c r="M3" s="6">
        <f t="shared" si="3"/>
        <v>0.2876820725</v>
      </c>
      <c r="N3" s="3"/>
      <c r="O3" s="4"/>
      <c r="P3" s="5">
        <v>4.0</v>
      </c>
      <c r="Q3" s="6">
        <f t="shared" si="4"/>
        <v>0.2876820725</v>
      </c>
    </row>
    <row r="4">
      <c r="A4" s="2" t="s">
        <v>11</v>
      </c>
      <c r="J4" s="3"/>
      <c r="K4" s="4"/>
      <c r="L4" s="5">
        <v>5.5</v>
      </c>
      <c r="M4" s="6">
        <f t="shared" si="3"/>
        <v>0.2006706955</v>
      </c>
      <c r="N4" s="3"/>
      <c r="O4" s="4"/>
      <c r="P4" s="5">
        <v>5.0</v>
      </c>
      <c r="Q4" s="6">
        <f t="shared" si="4"/>
        <v>0.2231435513</v>
      </c>
    </row>
    <row r="5">
      <c r="A5" s="2">
        <v>1.0</v>
      </c>
      <c r="B5" s="7">
        <f t="shared" ref="B5:C5" si="5">((B$3^$A5)/FACT($A5))*EXP(-B$3)</f>
        <v>0.2655300307</v>
      </c>
      <c r="C5" s="7">
        <f t="shared" si="5"/>
        <v>0.3587269061</v>
      </c>
      <c r="D5" s="2">
        <v>1.5</v>
      </c>
      <c r="E5" s="7">
        <f>1/(B2*(C2+C5)+B5*C2)</f>
        <v>4.42437836</v>
      </c>
      <c r="J5" s="3"/>
      <c r="K5" s="4"/>
      <c r="L5" s="5">
        <v>8.0</v>
      </c>
      <c r="M5" s="6">
        <f t="shared" si="3"/>
        <v>0.1335313926</v>
      </c>
      <c r="N5" s="3"/>
      <c r="O5" s="4"/>
      <c r="P5" s="5">
        <v>10.0</v>
      </c>
      <c r="Q5" s="6">
        <f t="shared" si="4"/>
        <v>0.1053605157</v>
      </c>
    </row>
    <row r="6">
      <c r="A6" s="2">
        <v>2.0</v>
      </c>
      <c r="B6" s="7">
        <f t="shared" ref="B6:C6" si="6">((B$3^$A6)/FACT($A6))*EXP(-B$3)</f>
        <v>0.2705741289</v>
      </c>
      <c r="C6" s="7">
        <f t="shared" si="6"/>
        <v>0.1420558548</v>
      </c>
      <c r="D6" s="2">
        <v>2.5</v>
      </c>
      <c r="E6" s="7">
        <f>1/(B2*(C2+C5+C6)+B5*(C2+C5)+B6*C2)</f>
        <v>2.162933886</v>
      </c>
      <c r="F6" s="2" t="s">
        <v>12</v>
      </c>
      <c r="J6" s="3"/>
      <c r="K6" s="4"/>
      <c r="L6" s="5">
        <v>10.0</v>
      </c>
      <c r="M6" s="6">
        <f t="shared" si="3"/>
        <v>0.1053605157</v>
      </c>
      <c r="N6" s="3"/>
      <c r="O6" s="4"/>
      <c r="P6" s="5">
        <v>10.0</v>
      </c>
      <c r="Q6" s="6">
        <f t="shared" si="4"/>
        <v>0.1053605157</v>
      </c>
    </row>
    <row r="7">
      <c r="A7" s="2">
        <v>3.0</v>
      </c>
      <c r="B7" s="7">
        <f t="shared" ref="B7:C7" si="7">((B$3^$A7)/FACT($A7))*EXP(-B$3)</f>
        <v>0.1838093643</v>
      </c>
      <c r="C7" s="7">
        <f t="shared" si="7"/>
        <v>0.03750274567</v>
      </c>
      <c r="D7" s="2">
        <v>3.5</v>
      </c>
      <c r="E7" s="7">
        <f>1/(B2*(C2+C5+C6+C7)+B5*(C2+C5+C6)+B6*(C2+C5)+B7*C2)</f>
        <v>1.459304851</v>
      </c>
      <c r="F7" s="7" t="str">
        <f>B1</f>
        <v>leeds</v>
      </c>
      <c r="G7" s="2" t="s">
        <v>13</v>
      </c>
      <c r="H7" s="7" t="str">
        <f>C1</f>
        <v>wolves</v>
      </c>
      <c r="J7" s="3"/>
      <c r="K7" s="4"/>
      <c r="L7" s="5">
        <v>10.0</v>
      </c>
      <c r="M7" s="6">
        <f t="shared" si="3"/>
        <v>0.1053605157</v>
      </c>
      <c r="N7" s="3"/>
      <c r="O7" s="4"/>
      <c r="P7" s="5">
        <v>12.0</v>
      </c>
      <c r="Q7" s="6">
        <f t="shared" si="4"/>
        <v>0.08701137699</v>
      </c>
    </row>
    <row r="8">
      <c r="A8" s="2">
        <v>4.0</v>
      </c>
      <c r="B8" s="7">
        <f t="shared" ref="B8:C8" si="8">((B$3^$A8)/FACT($A8))*EXP(-B$3)</f>
        <v>0.09365053454</v>
      </c>
      <c r="C8" s="7">
        <f t="shared" si="8"/>
        <v>0.007425543643</v>
      </c>
      <c r="D8" s="2">
        <v>4.5</v>
      </c>
      <c r="E8" s="7">
        <f>1/(B2*(C2+C5+C6+C7+C8)+B5*(C2+C5+C6+C7)+B6*(C2+C5+C6)+B7*(C2+C5)+B8*C2)</f>
        <v>1.186274451</v>
      </c>
      <c r="F8" s="7">
        <f>B5*C2+B6*(C5+C2)+B7*(C6+C5+C2)+B8*(C7+C6+C5+C2)+B9*(C8+C7+C6+C5+C2)+B10*(C9+C8+C7+C6+C5+C2)+B11*(C10+C9+C8+C7+C6+C5+C2)+B12*(C11+C10+C9+C8+C7+C6+C5+C2)</f>
        <v>0.663835635</v>
      </c>
      <c r="G8" s="7">
        <f>B2*C2+B5*C5+B6*C6+B7*C7+B8*C8+B9*C9+B10*C10+B11*C11+B12*C12</f>
        <v>0.2003384324</v>
      </c>
      <c r="H8" s="7">
        <f>C5*B2+C6*(B5+B2)+C7*(B6+B5+B2)+C8*(B7+B6+B5+B2)+C9*(B8+B7+B6+B5+B2)+C10*(B9+B8+B7+B6+B5+B2)+C11*(B10+B9+B7+B8+B6+B5+B2)</f>
        <v>0.13555202</v>
      </c>
      <c r="J8" s="3"/>
      <c r="K8" s="4"/>
      <c r="L8" s="5">
        <v>15.0</v>
      </c>
      <c r="M8" s="6">
        <f t="shared" si="3"/>
        <v>0.06899287149</v>
      </c>
      <c r="N8" s="3"/>
      <c r="O8" s="4"/>
      <c r="P8" s="5">
        <v>10.0</v>
      </c>
      <c r="Q8" s="6">
        <f t="shared" si="4"/>
        <v>0.1053605157</v>
      </c>
    </row>
    <row r="9">
      <c r="A9" s="2">
        <v>5.0</v>
      </c>
      <c r="B9" s="7">
        <f t="shared" ref="B9:C9" si="9">((B$3^$A9)/FACT($A9))*EXP(-B$3)</f>
        <v>0.0381718207</v>
      </c>
      <c r="C9" s="7">
        <f t="shared" si="9"/>
        <v>0.001176206113</v>
      </c>
      <c r="F9" s="9">
        <f t="shared" ref="F9:H9" si="10">1/F8</f>
        <v>1.506396986</v>
      </c>
      <c r="G9" s="9">
        <f t="shared" si="10"/>
        <v>4.991553484</v>
      </c>
      <c r="H9" s="9">
        <f t="shared" si="10"/>
        <v>7.377241592</v>
      </c>
      <c r="J9" s="3"/>
      <c r="K9" s="4"/>
      <c r="L9" s="5">
        <v>15.0</v>
      </c>
      <c r="M9" s="6">
        <f t="shared" si="3"/>
        <v>0.06899287149</v>
      </c>
      <c r="N9" s="3"/>
      <c r="O9" s="4"/>
      <c r="P9" s="5">
        <v>15.0</v>
      </c>
      <c r="Q9" s="6">
        <f t="shared" si="4"/>
        <v>0.06899287149</v>
      </c>
    </row>
    <row r="10">
      <c r="A10" s="2">
        <v>6.0</v>
      </c>
      <c r="B10" s="7">
        <f t="shared" ref="B10:C10" si="11">((B$3^$A10)/FACT($A10))*EXP(-B$3)</f>
        <v>0.0129656485</v>
      </c>
      <c r="C10" s="7">
        <f t="shared" si="11"/>
        <v>0.0001552592069</v>
      </c>
      <c r="J10" s="3"/>
      <c r="K10" s="4"/>
      <c r="L10" s="5">
        <v>15.0</v>
      </c>
      <c r="M10" s="6">
        <f t="shared" si="3"/>
        <v>0.06899287149</v>
      </c>
      <c r="N10" s="3"/>
      <c r="O10" s="4"/>
      <c r="P10" s="5">
        <v>15.0</v>
      </c>
      <c r="Q10" s="6">
        <f t="shared" si="4"/>
        <v>0.06899287149</v>
      </c>
    </row>
    <row r="11">
      <c r="A11" s="2">
        <v>7.0</v>
      </c>
      <c r="B11" s="7">
        <f t="shared" ref="B11:C11" si="12">((B$3^$A11)/FACT($A11))*EXP(-B$3)</f>
        <v>0.003774842383</v>
      </c>
      <c r="C11" s="7">
        <f t="shared" si="12"/>
        <v>0.00001756647027</v>
      </c>
      <c r="J11" s="3"/>
      <c r="K11" s="4"/>
      <c r="L11" s="5">
        <v>15.0</v>
      </c>
      <c r="M11" s="6">
        <f t="shared" si="3"/>
        <v>0.06899287149</v>
      </c>
      <c r="N11" s="3"/>
      <c r="O11" s="4"/>
      <c r="P11" s="5">
        <v>15.0</v>
      </c>
      <c r="Q11" s="6">
        <f t="shared" si="4"/>
        <v>0.06899287149</v>
      </c>
    </row>
    <row r="12">
      <c r="A12" s="2">
        <v>8.0</v>
      </c>
      <c r="B12" s="7">
        <f t="shared" ref="B12:C12" si="13">((B$3^$A12)/FACT($A12))*EXP(-B$3)</f>
        <v>0.000961637641</v>
      </c>
      <c r="C12" s="7">
        <f t="shared" si="13"/>
        <v>0.000001739080557</v>
      </c>
      <c r="J12" s="3"/>
      <c r="K12" s="3"/>
      <c r="L12" s="3"/>
      <c r="M12" s="3"/>
      <c r="N12" s="3"/>
      <c r="O12" s="3"/>
      <c r="P12" s="3"/>
      <c r="Q12" s="3"/>
    </row>
    <row r="13">
      <c r="B13" s="7" t="str">
        <f>C1</f>
        <v>wolves</v>
      </c>
      <c r="J13" s="3"/>
      <c r="K13" s="3"/>
      <c r="L13" s="3" t="s">
        <v>14</v>
      </c>
      <c r="M13" s="6">
        <f>SUM(M2:M11)</f>
        <v>1.540710033</v>
      </c>
      <c r="N13" s="3"/>
      <c r="O13" s="3"/>
      <c r="P13" s="3" t="s">
        <v>14</v>
      </c>
      <c r="Q13" s="6">
        <f>SUM(Q2:Q11)</f>
        <v>1.457369399</v>
      </c>
    </row>
    <row r="14">
      <c r="A14" s="7" t="str">
        <f>B1</f>
        <v>leeds</v>
      </c>
      <c r="B14" s="2">
        <v>0.0</v>
      </c>
      <c r="C14" s="2">
        <v>1.0</v>
      </c>
      <c r="D14" s="2">
        <v>2.0</v>
      </c>
      <c r="E14" s="2">
        <v>3.0</v>
      </c>
      <c r="F14" s="2">
        <v>4.0</v>
      </c>
      <c r="G14" s="2">
        <v>5.0</v>
      </c>
      <c r="H14" s="2">
        <v>6.0</v>
      </c>
      <c r="J14" s="3"/>
      <c r="K14" s="3"/>
      <c r="L14" s="3" t="s">
        <v>15</v>
      </c>
      <c r="M14" s="6">
        <f>SUM(M2:M8)</f>
        <v>1.333731419</v>
      </c>
      <c r="N14" s="3"/>
      <c r="O14" s="3"/>
      <c r="P14" s="3" t="s">
        <v>15</v>
      </c>
      <c r="Q14" s="6">
        <f>SUM(Q2:Q8)</f>
        <v>1.250390784</v>
      </c>
    </row>
    <row r="15">
      <c r="A15" s="2">
        <v>0.0</v>
      </c>
      <c r="B15" s="7">
        <f>B2*$C$2</f>
        <v>0.05901328589</v>
      </c>
      <c r="C15" s="7">
        <f>C5*B2</f>
        <v>0.04673852243</v>
      </c>
      <c r="D15" s="7">
        <f>C6*B2</f>
        <v>0.01850845488</v>
      </c>
      <c r="E15" s="7">
        <f>C7*B2</f>
        <v>0.004886232089</v>
      </c>
      <c r="F15" s="7">
        <f>C8*B2</f>
        <v>0.0009674739536</v>
      </c>
      <c r="G15" s="7">
        <f>C9*B2</f>
        <v>0.0001532478742</v>
      </c>
      <c r="H15" s="7">
        <f>$C$10*B2</f>
        <v>0.0000202287194</v>
      </c>
    </row>
    <row r="16">
      <c r="A16" s="2">
        <v>1.0</v>
      </c>
      <c r="B16" s="7">
        <f t="shared" ref="B16:B21" si="14">B5*$C$2</f>
        <v>0.1202686444</v>
      </c>
      <c r="C16" s="7">
        <f t="shared" ref="C16:C21" si="15">$C$5*B5</f>
        <v>0.09525276639</v>
      </c>
      <c r="D16" s="7">
        <f t="shared" ref="D16:D21" si="16">$C$6*B5</f>
        <v>0.03772009549</v>
      </c>
      <c r="E16" s="7">
        <f t="shared" ref="E16:E21" si="17">$C$7*B5</f>
        <v>0.009958105209</v>
      </c>
      <c r="F16" s="7">
        <f t="shared" ref="F16:F21" si="18">$C$8*B5</f>
        <v>0.001971704831</v>
      </c>
      <c r="G16" s="7">
        <f t="shared" ref="G16:G21" si="19">$C$9*B5</f>
        <v>0.0003123180453</v>
      </c>
      <c r="H16" s="7">
        <f t="shared" ref="H16:H21" si="20">$C$10*B5</f>
        <v>0.00004122598198</v>
      </c>
    </row>
    <row r="17">
      <c r="A17" s="2">
        <v>2.0</v>
      </c>
      <c r="B17" s="7">
        <f t="shared" si="14"/>
        <v>0.1225533082</v>
      </c>
      <c r="C17" s="7">
        <f t="shared" si="15"/>
        <v>0.09706222012</v>
      </c>
      <c r="D17" s="7">
        <f t="shared" si="16"/>
        <v>0.03843663917</v>
      </c>
      <c r="E17" s="7">
        <f t="shared" si="17"/>
        <v>0.01014727274</v>
      </c>
      <c r="F17" s="7">
        <f t="shared" si="18"/>
        <v>0.002009160003</v>
      </c>
      <c r="G17" s="7">
        <f t="shared" si="19"/>
        <v>0.0003182509444</v>
      </c>
      <c r="H17" s="7">
        <f t="shared" si="20"/>
        <v>0.00004200912466</v>
      </c>
    </row>
    <row r="18">
      <c r="A18" s="2">
        <v>3.0</v>
      </c>
      <c r="B18" s="7">
        <f t="shared" si="14"/>
        <v>0.08325424819</v>
      </c>
      <c r="C18" s="7">
        <f t="shared" si="15"/>
        <v>0.06593736457</v>
      </c>
      <c r="D18" s="7">
        <f t="shared" si="16"/>
        <v>0.02611119637</v>
      </c>
      <c r="E18" s="7">
        <f t="shared" si="17"/>
        <v>0.006893355841</v>
      </c>
      <c r="F18" s="7">
        <f t="shared" si="18"/>
        <v>0.001364884457</v>
      </c>
      <c r="G18" s="7">
        <f t="shared" si="19"/>
        <v>0.0002161976979</v>
      </c>
      <c r="H18" s="7">
        <f t="shared" si="20"/>
        <v>0.00002853809613</v>
      </c>
    </row>
    <row r="19">
      <c r="A19" s="2">
        <v>4.0</v>
      </c>
      <c r="B19" s="7">
        <f t="shared" si="14"/>
        <v>0.04241788701</v>
      </c>
      <c r="C19" s="7">
        <f t="shared" si="15"/>
        <v>0.03359496651</v>
      </c>
      <c r="D19" s="7">
        <f t="shared" si="16"/>
        <v>0.01330360674</v>
      </c>
      <c r="E19" s="7">
        <f t="shared" si="17"/>
        <v>0.003512152179</v>
      </c>
      <c r="F19" s="7">
        <f t="shared" si="18"/>
        <v>0.0006954061314</v>
      </c>
      <c r="G19" s="7">
        <f t="shared" si="19"/>
        <v>0.0001101523312</v>
      </c>
      <c r="H19" s="7">
        <f t="shared" si="20"/>
        <v>0.00001454010772</v>
      </c>
    </row>
    <row r="20">
      <c r="A20" s="2">
        <v>5.0</v>
      </c>
      <c r="B20" s="7">
        <f t="shared" si="14"/>
        <v>0.01728946861</v>
      </c>
      <c r="C20" s="7">
        <f t="shared" si="15"/>
        <v>0.01369325914</v>
      </c>
      <c r="D20" s="7">
        <f t="shared" si="16"/>
        <v>0.005422530619</v>
      </c>
      <c r="E20" s="7">
        <f t="shared" si="17"/>
        <v>0.001431548083</v>
      </c>
      <c r="F20" s="7">
        <f t="shared" si="18"/>
        <v>0.0002834465205</v>
      </c>
      <c r="G20" s="7">
        <f t="shared" si="19"/>
        <v>0.00004489792885</v>
      </c>
      <c r="H20" s="7">
        <f t="shared" si="20"/>
        <v>0.000005926526608</v>
      </c>
    </row>
    <row r="21">
      <c r="A21" s="2">
        <v>6.0</v>
      </c>
      <c r="B21" s="7">
        <f t="shared" si="14"/>
        <v>0.005872635066</v>
      </c>
      <c r="C21" s="7">
        <f t="shared" si="15"/>
        <v>0.004651126972</v>
      </c>
      <c r="D21" s="7">
        <f t="shared" si="16"/>
        <v>0.001841846281</v>
      </c>
      <c r="E21" s="7">
        <f t="shared" si="17"/>
        <v>0.0004862474182</v>
      </c>
      <c r="F21" s="7">
        <f t="shared" si="18"/>
        <v>0.0000962769888</v>
      </c>
      <c r="G21" s="7">
        <f t="shared" si="19"/>
        <v>0.00001525027503</v>
      </c>
      <c r="H21" s="7">
        <f t="shared" si="20"/>
        <v>0.000002013036303</v>
      </c>
    </row>
    <row r="23">
      <c r="A23" s="2" t="s">
        <v>16</v>
      </c>
    </row>
    <row r="24">
      <c r="B24" s="2">
        <v>0.0</v>
      </c>
      <c r="C24" s="2">
        <v>1.0</v>
      </c>
      <c r="D24" s="2">
        <v>2.0</v>
      </c>
      <c r="E24" s="2">
        <v>3.0</v>
      </c>
      <c r="F24" s="2">
        <v>4.0</v>
      </c>
      <c r="G24" s="2">
        <v>5.0</v>
      </c>
      <c r="H24" s="2">
        <v>6.0</v>
      </c>
    </row>
    <row r="25">
      <c r="A25" s="2">
        <v>0.0</v>
      </c>
      <c r="B25" s="10">
        <f>B12*$C$2</f>
        <v>0.0004355622421</v>
      </c>
      <c r="C25" s="10">
        <f>C15*B12</f>
        <v>0.00004494552245</v>
      </c>
      <c r="D25" s="10">
        <f>C16*B12</f>
        <v>0.00009159864557</v>
      </c>
      <c r="E25" s="10">
        <f>C17*B12</f>
        <v>0.00009333868439</v>
      </c>
      <c r="F25" s="10">
        <f>C18*B12</f>
        <v>0.00006340785172</v>
      </c>
      <c r="G25" s="10">
        <f>C19*B12</f>
        <v>0.00003230618435</v>
      </c>
      <c r="H25" s="10">
        <f>$C$10*B12</f>
        <v>0.0000001493030975</v>
      </c>
    </row>
    <row r="26">
      <c r="A26" s="2">
        <v>1.0</v>
      </c>
      <c r="B26" s="10">
        <f t="shared" ref="B26:B31" si="21">B15*$C$2</f>
        <v>0.02672936044</v>
      </c>
      <c r="C26" s="10">
        <f t="shared" ref="C26:C31" si="22">$C$5*B15</f>
        <v>0.02116965347</v>
      </c>
      <c r="D26" s="10">
        <f>$C$6*B15</f>
        <v>0.008383182774</v>
      </c>
      <c r="E26" s="10">
        <f>$C$7*B15</f>
        <v>0.002213160252</v>
      </c>
      <c r="F26" s="10">
        <f>$C$8*B15</f>
        <v>0.0004382057299</v>
      </c>
      <c r="G26" s="10">
        <f>$C$9*B15</f>
        <v>0.00006941178762</v>
      </c>
      <c r="H26" s="10">
        <f>$C$10*B15</f>
        <v>0.000009162355966</v>
      </c>
    </row>
    <row r="27">
      <c r="A27" s="2">
        <v>2.0</v>
      </c>
      <c r="B27" s="10">
        <f t="shared" si="21"/>
        <v>0.05447424081</v>
      </c>
      <c r="C27" s="10">
        <f t="shared" si="22"/>
        <v>0.04314359872</v>
      </c>
      <c r="D27" s="2">
        <f>1/6</f>
        <v>0.1666666667</v>
      </c>
      <c r="E27" s="7">
        <f>0.4*0.25</f>
        <v>0.1</v>
      </c>
      <c r="F27" s="7">
        <f>1/15</f>
        <v>0.06666666667</v>
      </c>
      <c r="G27" s="7">
        <f>2/7*1/6</f>
        <v>0.04761904762</v>
      </c>
      <c r="H27" s="7">
        <f>1/4*1/7</f>
        <v>0.03571428571</v>
      </c>
    </row>
    <row r="28">
      <c r="A28" s="2">
        <v>3.0</v>
      </c>
      <c r="B28" s="10">
        <f t="shared" si="21"/>
        <v>0.05550905189</v>
      </c>
      <c r="C28" s="10">
        <f t="shared" si="22"/>
        <v>0.0439631691</v>
      </c>
      <c r="D28" s="10"/>
      <c r="E28" s="7">
        <f>0.5*2/5+0.5*3/5*0.5*1/3*2</f>
        <v>0.3</v>
      </c>
      <c r="F28" s="7">
        <f>3/7*1/3+3/7*2/3*2/5*1/4+4/7*1/2*2/5*1/4</f>
        <v>0.2</v>
      </c>
      <c r="G28" s="7">
        <f>3/8*2/7+3/8*5/7*2/6*1/5+5/8*3/7*2/6*1/5</f>
        <v>0.1428571429</v>
      </c>
      <c r="H28" s="7">
        <f>3/9*2/8+3/9*6/8*2/7*1/6+6/9*3/8*2/7*1/6</f>
        <v>0.1071428571</v>
      </c>
    </row>
    <row r="29">
      <c r="A29" s="2">
        <v>4.0</v>
      </c>
      <c r="B29" s="10">
        <f t="shared" si="21"/>
        <v>0.03770901373</v>
      </c>
      <c r="C29" s="10">
        <f t="shared" si="22"/>
        <v>0.02986553887</v>
      </c>
      <c r="D29" s="10"/>
      <c r="E29" s="10"/>
      <c r="F29" s="7">
        <f>28/70</f>
        <v>0.4</v>
      </c>
      <c r="G29" s="7">
        <f>36/126</f>
        <v>0.2857142857</v>
      </c>
      <c r="H29" s="7">
        <f>45/210</f>
        <v>0.2142857143</v>
      </c>
    </row>
    <row r="30">
      <c r="A30" s="2">
        <v>5.0</v>
      </c>
      <c r="B30" s="10">
        <f t="shared" si="21"/>
        <v>0.01921267345</v>
      </c>
      <c r="C30" s="10">
        <f t="shared" si="22"/>
        <v>0.01521643737</v>
      </c>
      <c r="D30" s="10"/>
      <c r="E30" s="10"/>
      <c r="F30" s="10"/>
      <c r="G30" s="7">
        <f>120/252</f>
        <v>0.4761904762</v>
      </c>
      <c r="H30" s="7">
        <f>165/462</f>
        <v>0.3571428571</v>
      </c>
    </row>
    <row r="31">
      <c r="A31" s="2">
        <v>6.0</v>
      </c>
      <c r="B31" s="10">
        <f t="shared" si="21"/>
        <v>0.007831057554</v>
      </c>
      <c r="C31" s="10">
        <f t="shared" si="22"/>
        <v>0.006202197583</v>
      </c>
      <c r="D31" s="10"/>
      <c r="E31" s="10"/>
      <c r="F31" s="10"/>
      <c r="G31" s="10"/>
      <c r="H31" s="10"/>
    </row>
    <row r="33">
      <c r="A33" s="2" t="s">
        <v>17</v>
      </c>
      <c r="B33" s="7" t="str">
        <f>A14</f>
        <v>leeds</v>
      </c>
      <c r="J33" s="2" t="s">
        <v>17</v>
      </c>
      <c r="K33" s="7" t="str">
        <f>B13</f>
        <v>wolves</v>
      </c>
    </row>
    <row r="34">
      <c r="B34" s="2">
        <v>0.0</v>
      </c>
      <c r="C34" s="2">
        <v>1.0</v>
      </c>
      <c r="D34" s="2">
        <v>2.0</v>
      </c>
      <c r="E34" s="2">
        <v>3.0</v>
      </c>
      <c r="F34" s="2">
        <v>4.0</v>
      </c>
      <c r="G34" s="2">
        <v>5.0</v>
      </c>
      <c r="H34" s="2">
        <v>6.0</v>
      </c>
      <c r="K34" s="2">
        <v>0.0</v>
      </c>
      <c r="L34" s="2">
        <v>1.0</v>
      </c>
      <c r="M34" s="2">
        <v>2.0</v>
      </c>
      <c r="N34" s="2">
        <v>3.0</v>
      </c>
      <c r="O34" s="2">
        <v>4.0</v>
      </c>
      <c r="P34" s="2">
        <v>5.0</v>
      </c>
      <c r="Q34" s="2">
        <v>6.0</v>
      </c>
    </row>
    <row r="35">
      <c r="A35" s="2">
        <v>0.0</v>
      </c>
      <c r="B35" s="10">
        <f>B22*$C$2</f>
        <v>0</v>
      </c>
      <c r="C35" s="10">
        <f>C25*B22</f>
        <v>0</v>
      </c>
      <c r="D35" s="10">
        <f>C26*B22</f>
        <v>0</v>
      </c>
      <c r="E35" s="10">
        <f>C27*B22</f>
        <v>0</v>
      </c>
      <c r="F35" s="10">
        <f>C28*B22</f>
        <v>0</v>
      </c>
      <c r="G35" s="10">
        <f>C29*B22</f>
        <v>0</v>
      </c>
      <c r="H35" s="10">
        <f>$C$10*B22</f>
        <v>0</v>
      </c>
      <c r="J35" s="2">
        <v>0.0</v>
      </c>
      <c r="K35" s="10">
        <f>K22*$C$2</f>
        <v>0</v>
      </c>
      <c r="L35" s="10">
        <f>L25*K22</f>
        <v>0</v>
      </c>
      <c r="M35" s="10">
        <f>L26*K22</f>
        <v>0</v>
      </c>
      <c r="N35" s="10">
        <f>L27*K22</f>
        <v>0</v>
      </c>
      <c r="O35" s="10">
        <f>L28*K22</f>
        <v>0</v>
      </c>
      <c r="P35" s="10">
        <f>L29*K22</f>
        <v>0</v>
      </c>
      <c r="Q35" s="10">
        <f>$C$10*K22</f>
        <v>0</v>
      </c>
    </row>
    <row r="36">
      <c r="A36" s="2">
        <v>1.0</v>
      </c>
      <c r="B36" s="10">
        <f t="shared" ref="B36:B41" si="23">B25*$C$2</f>
        <v>0.0001972826964</v>
      </c>
      <c r="C36" s="10">
        <f t="shared" ref="C36:C41" si="24">$C$5*B25</f>
        <v>0.0001562478955</v>
      </c>
      <c r="D36" s="10">
        <f>$C$6*B25</f>
        <v>0.00006187416664</v>
      </c>
      <c r="E36" s="10">
        <f>$C$7*B25</f>
        <v>0.00001633477999</v>
      </c>
      <c r="F36" s="10">
        <f>$C$8*B25</f>
        <v>0.000003234286438</v>
      </c>
      <c r="G36" s="10">
        <f>$C$9*B25</f>
        <v>0.0000005123109718</v>
      </c>
      <c r="H36" s="10">
        <f>$C$10*B25</f>
        <v>0.00000006762504828</v>
      </c>
      <c r="J36" s="2">
        <v>1.0</v>
      </c>
      <c r="K36" s="10">
        <f t="shared" ref="K36:K41" si="26">K25*$C$2</f>
        <v>0</v>
      </c>
      <c r="L36" s="10">
        <f t="shared" ref="L36:L41" si="27">$C$5*K25</f>
        <v>0</v>
      </c>
      <c r="M36" s="10">
        <f>$C$6*K25</f>
        <v>0</v>
      </c>
      <c r="N36" s="10">
        <f>$C$7*K25</f>
        <v>0</v>
      </c>
      <c r="O36" s="10">
        <f>$C$8*K25</f>
        <v>0</v>
      </c>
      <c r="P36" s="10">
        <f>$C$9*K25</f>
        <v>0</v>
      </c>
      <c r="Q36" s="10">
        <f>$C$10*K25</f>
        <v>0</v>
      </c>
    </row>
    <row r="37">
      <c r="A37" s="2">
        <v>2.0</v>
      </c>
      <c r="B37" s="10">
        <f t="shared" si="23"/>
        <v>0.0121067434</v>
      </c>
      <c r="C37" s="10">
        <f t="shared" si="24"/>
        <v>0.009588540773</v>
      </c>
      <c r="D37" s="7">
        <f t="shared" ref="D37:H37" si="25">D27*D17</f>
        <v>0.006406106528</v>
      </c>
      <c r="E37" s="7">
        <f t="shared" si="25"/>
        <v>0.001014727274</v>
      </c>
      <c r="F37" s="7">
        <f t="shared" si="25"/>
        <v>0.0001339440002</v>
      </c>
      <c r="G37" s="7">
        <f t="shared" si="25"/>
        <v>0.00001515480688</v>
      </c>
      <c r="H37" s="7">
        <f t="shared" si="25"/>
        <v>0.000001500325881</v>
      </c>
      <c r="J37" s="2">
        <v>2.0</v>
      </c>
      <c r="K37" s="10">
        <f t="shared" si="26"/>
        <v>0</v>
      </c>
      <c r="L37" s="10">
        <f t="shared" si="27"/>
        <v>0</v>
      </c>
      <c r="M37" s="7">
        <f>D27*D17</f>
        <v>0.006406106528</v>
      </c>
      <c r="N37" s="7">
        <f>E27*D18</f>
        <v>0.002611119637</v>
      </c>
      <c r="O37" s="7">
        <f>F27*D19</f>
        <v>0.0008869071159</v>
      </c>
      <c r="P37" s="7">
        <f>G27*D20</f>
        <v>0.0002582157438</v>
      </c>
      <c r="Q37" s="7">
        <f>H27*D21</f>
        <v>0.00006578022432</v>
      </c>
    </row>
    <row r="38">
      <c r="A38" s="2">
        <v>3.0</v>
      </c>
      <c r="B38" s="10">
        <f t="shared" si="23"/>
        <v>0.02467345438</v>
      </c>
      <c r="C38" s="10">
        <f t="shared" si="24"/>
        <v>0.01954137587</v>
      </c>
      <c r="D38" s="10"/>
      <c r="E38" s="7">
        <f t="shared" ref="E38:H38" si="28">E28*E18</f>
        <v>0.002068006752</v>
      </c>
      <c r="F38" s="7">
        <f t="shared" si="28"/>
        <v>0.0002729768913</v>
      </c>
      <c r="G38" s="7">
        <f t="shared" si="28"/>
        <v>0.00003088538542</v>
      </c>
      <c r="H38" s="7">
        <f t="shared" si="28"/>
        <v>0.000003057653156</v>
      </c>
      <c r="J38" s="2">
        <v>3.0</v>
      </c>
      <c r="K38" s="10">
        <f t="shared" si="26"/>
        <v>0</v>
      </c>
      <c r="L38" s="10">
        <f t="shared" si="27"/>
        <v>0</v>
      </c>
      <c r="M38" s="10"/>
      <c r="N38" s="7">
        <f>E28*E18</f>
        <v>0.002068006752</v>
      </c>
      <c r="O38" s="7">
        <f>F28*E19</f>
        <v>0.0007024304358</v>
      </c>
      <c r="P38" s="7">
        <f>G28*E20</f>
        <v>0.0002045068691</v>
      </c>
      <c r="Q38" s="7">
        <f>H28*E21</f>
        <v>0.00005209793766</v>
      </c>
    </row>
    <row r="39">
      <c r="A39" s="2">
        <v>4.0</v>
      </c>
      <c r="B39" s="10">
        <f t="shared" si="23"/>
        <v>0.02514215965</v>
      </c>
      <c r="C39" s="10">
        <f t="shared" si="24"/>
        <v>0.01991259045</v>
      </c>
      <c r="D39" s="10"/>
      <c r="E39" s="10"/>
      <c r="F39" s="7">
        <f t="shared" ref="F39:H39" si="29">F29*F19</f>
        <v>0.0002781624526</v>
      </c>
      <c r="G39" s="7">
        <f t="shared" si="29"/>
        <v>0.00003147209463</v>
      </c>
      <c r="H39" s="7">
        <f t="shared" si="29"/>
        <v>0.000003115737369</v>
      </c>
      <c r="J39" s="2">
        <v>4.0</v>
      </c>
      <c r="K39" s="10">
        <f t="shared" si="26"/>
        <v>0</v>
      </c>
      <c r="L39" s="10">
        <f t="shared" si="27"/>
        <v>0</v>
      </c>
      <c r="M39" s="10"/>
      <c r="N39" s="10"/>
      <c r="O39" s="7">
        <f>F29*F19</f>
        <v>0.0002781624526</v>
      </c>
      <c r="P39" s="7">
        <f>G29*F20</f>
        <v>0.00008098472015</v>
      </c>
      <c r="Q39" s="7">
        <f>H29*F21</f>
        <v>0.00002063078331</v>
      </c>
    </row>
    <row r="40">
      <c r="A40" s="2">
        <v>5.0</v>
      </c>
      <c r="B40" s="10">
        <f t="shared" si="23"/>
        <v>0.01707984574</v>
      </c>
      <c r="C40" s="10">
        <f t="shared" si="24"/>
        <v>0.01352723783</v>
      </c>
      <c r="D40" s="10"/>
      <c r="E40" s="10"/>
      <c r="F40" s="10"/>
      <c r="G40" s="7">
        <f t="shared" ref="G40:H40" si="30">G30*G20</f>
        <v>0.00002137996612</v>
      </c>
      <c r="H40" s="7">
        <f t="shared" si="30"/>
        <v>0.000002116616646</v>
      </c>
      <c r="J40" s="2">
        <v>5.0</v>
      </c>
      <c r="K40" s="10">
        <f t="shared" si="26"/>
        <v>0</v>
      </c>
      <c r="L40" s="10">
        <f t="shared" si="27"/>
        <v>0</v>
      </c>
      <c r="M40" s="10"/>
      <c r="N40" s="10"/>
      <c r="O40" s="10"/>
      <c r="P40" s="7">
        <f>G30*G20</f>
        <v>0.00002137996612</v>
      </c>
      <c r="Q40" s="7">
        <f>H30*G21</f>
        <v>0.000005446526795</v>
      </c>
    </row>
    <row r="41">
      <c r="A41" s="2">
        <v>6.0</v>
      </c>
      <c r="B41" s="10">
        <f t="shared" si="23"/>
        <v>0.008702150132</v>
      </c>
      <c r="C41" s="10">
        <f t="shared" si="24"/>
        <v>0.006892102904</v>
      </c>
      <c r="D41" s="10"/>
      <c r="E41" s="10"/>
      <c r="F41" s="10"/>
      <c r="G41" s="10"/>
      <c r="H41" s="10"/>
      <c r="J41" s="2">
        <v>6.0</v>
      </c>
      <c r="K41" s="10">
        <f t="shared" si="26"/>
        <v>0</v>
      </c>
      <c r="L41" s="10">
        <f t="shared" si="27"/>
        <v>0</v>
      </c>
      <c r="M41" s="10"/>
      <c r="N41" s="10"/>
      <c r="O41" s="10"/>
      <c r="P41" s="10"/>
      <c r="Q41" s="10"/>
    </row>
  </sheetData>
  <drawing r:id="rId1"/>
</worksheet>
</file>